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1275AB50-6BF8-496B-A2BE-173CB7675E45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6" i="3"/>
  <c r="B3" i="3" l="1"/>
  <c r="C3" i="3" l="1"/>
  <c r="D3" i="3"/>
  <c r="E3" i="3"/>
  <c r="F3" i="3"/>
  <c r="G3" i="3"/>
  <c r="M19" i="3" l="1" a="1"/>
  <c r="M19" i="3" s="1"/>
  <c r="M7" i="3"/>
  <c r="M15" i="3" a="1"/>
  <c r="M15" i="3" s="1"/>
  <c r="M11" i="3" a="1"/>
  <c r="M11" i="3" s="1"/>
  <c r="M92" i="3" a="1"/>
  <c r="M92" i="3" s="1"/>
  <c r="M23" i="3" a="1"/>
  <c r="M23" i="3" s="1"/>
  <c r="M27" i="3" a="1"/>
  <c r="M27" i="3" s="1"/>
  <c r="M34" i="3" a="1"/>
  <c r="M34" i="3" s="1"/>
  <c r="M38" i="3" a="1"/>
  <c r="M38" i="3" s="1"/>
  <c r="M42" i="3" a="1"/>
  <c r="M42" i="3" s="1"/>
  <c r="M46" i="3" a="1"/>
  <c r="M46" i="3" s="1"/>
  <c r="M50" i="3" a="1"/>
  <c r="M50" i="3" s="1"/>
  <c r="M54" i="3" a="1"/>
  <c r="M54" i="3" s="1"/>
  <c r="M58" i="3" a="1"/>
  <c r="M58" i="3" s="1"/>
  <c r="M62" i="3" a="1"/>
  <c r="M62" i="3" s="1"/>
  <c r="M65" i="3" a="1"/>
  <c r="M65" i="3" s="1"/>
  <c r="M69" i="3" a="1"/>
  <c r="M69" i="3" s="1"/>
  <c r="M73" i="3" a="1"/>
  <c r="M73" i="3" s="1"/>
  <c r="M77" i="3" a="1"/>
  <c r="M77" i="3" s="1"/>
  <c r="M81" i="3" a="1"/>
  <c r="M81" i="3" s="1"/>
  <c r="M85" i="3" a="1"/>
  <c r="M85" i="3" s="1"/>
  <c r="M89" i="3" a="1"/>
  <c r="M89" i="3" s="1"/>
  <c r="M8" i="3"/>
  <c r="M12" i="3" a="1"/>
  <c r="M12" i="3" s="1"/>
  <c r="M16" i="3" a="1"/>
  <c r="M16" i="3" s="1"/>
  <c r="M20" i="3" a="1"/>
  <c r="M20" i="3" s="1"/>
  <c r="M24" i="3" a="1"/>
  <c r="M24" i="3" s="1"/>
  <c r="M28" i="3" a="1"/>
  <c r="M28" i="3" s="1"/>
  <c r="M31" i="3" a="1"/>
  <c r="M31" i="3" s="1"/>
  <c r="M35" i="3" a="1"/>
  <c r="M35" i="3" s="1"/>
  <c r="M39" i="3" a="1"/>
  <c r="M39" i="3" s="1"/>
  <c r="M43" i="3" a="1"/>
  <c r="M43" i="3" s="1"/>
  <c r="M47" i="3" a="1"/>
  <c r="M47" i="3" s="1"/>
  <c r="M51" i="3" a="1"/>
  <c r="M51" i="3" s="1"/>
  <c r="M55" i="3" a="1"/>
  <c r="M55" i="3" s="1"/>
  <c r="M59" i="3" a="1"/>
  <c r="M59" i="3" s="1"/>
  <c r="M66" i="3" a="1"/>
  <c r="M66" i="3" s="1"/>
  <c r="M70" i="3" a="1"/>
  <c r="M70" i="3" s="1"/>
  <c r="M74" i="3" a="1"/>
  <c r="M74" i="3" s="1"/>
  <c r="M78" i="3" a="1"/>
  <c r="M78" i="3" s="1"/>
  <c r="M82" i="3" a="1"/>
  <c r="M82" i="3" s="1"/>
  <c r="M86" i="3" a="1"/>
  <c r="M86" i="3" s="1"/>
  <c r="M90" i="3" a="1"/>
  <c r="M90" i="3" s="1"/>
  <c r="M9" i="3"/>
  <c r="M13" i="3" a="1"/>
  <c r="M13" i="3" s="1"/>
  <c r="M17" i="3" a="1"/>
  <c r="M17" i="3" s="1"/>
  <c r="M21" i="3" a="1"/>
  <c r="M21" i="3" s="1"/>
  <c r="M25" i="3" a="1"/>
  <c r="M25" i="3" s="1"/>
  <c r="M29" i="3" a="1"/>
  <c r="M29" i="3" s="1"/>
  <c r="M32" i="3" a="1"/>
  <c r="M32" i="3" s="1"/>
  <c r="M36" i="3" a="1"/>
  <c r="M36" i="3" s="1"/>
  <c r="M40" i="3" a="1"/>
  <c r="M40" i="3" s="1"/>
  <c r="M44" i="3" a="1"/>
  <c r="M44" i="3" s="1"/>
  <c r="M48" i="3" a="1"/>
  <c r="M48" i="3" s="1"/>
  <c r="M52" i="3" a="1"/>
  <c r="M52" i="3" s="1"/>
  <c r="M56" i="3" a="1"/>
  <c r="M56" i="3" s="1"/>
  <c r="M60" i="3" a="1"/>
  <c r="M60" i="3" s="1"/>
  <c r="M63" i="3" a="1"/>
  <c r="M63" i="3" s="1"/>
  <c r="M67" i="3" a="1"/>
  <c r="M67" i="3" s="1"/>
  <c r="M71" i="3" a="1"/>
  <c r="M71" i="3" s="1"/>
  <c r="M75" i="3" a="1"/>
  <c r="M75" i="3" s="1"/>
  <c r="M79" i="3" a="1"/>
  <c r="M79" i="3" s="1"/>
  <c r="M83" i="3" a="1"/>
  <c r="M83" i="3" s="1"/>
  <c r="M87" i="3" a="1"/>
  <c r="M87" i="3" s="1"/>
  <c r="M91" i="3" a="1"/>
  <c r="M91" i="3" s="1"/>
  <c r="M6" i="3"/>
  <c r="M10" i="3"/>
  <c r="M14" i="3" a="1"/>
  <c r="M14" i="3" s="1"/>
  <c r="M18" i="3" a="1"/>
  <c r="M18" i="3" s="1"/>
  <c r="M22" i="3" a="1"/>
  <c r="M22" i="3" s="1"/>
  <c r="M26" i="3" a="1"/>
  <c r="M26" i="3" s="1"/>
  <c r="M30" i="3" a="1"/>
  <c r="M30" i="3" s="1"/>
  <c r="M33" i="3" a="1"/>
  <c r="M33" i="3" s="1"/>
  <c r="M37" i="3" a="1"/>
  <c r="M37" i="3" s="1"/>
  <c r="M41" i="3" a="1"/>
  <c r="M41" i="3" s="1"/>
  <c r="M45" i="3" a="1"/>
  <c r="M45" i="3" s="1"/>
  <c r="M49" i="3" a="1"/>
  <c r="M49" i="3" s="1"/>
  <c r="M53" i="3" a="1"/>
  <c r="M53" i="3" s="1"/>
  <c r="M57" i="3" a="1"/>
  <c r="M57" i="3" s="1"/>
  <c r="M61" i="3" a="1"/>
  <c r="M61" i="3" s="1"/>
  <c r="M64" i="3" a="1"/>
  <c r="M64" i="3" s="1"/>
  <c r="M68" i="3" a="1"/>
  <c r="M68" i="3" s="1"/>
  <c r="M72" i="3" a="1"/>
  <c r="M72" i="3" s="1"/>
  <c r="M76" i="3" a="1"/>
  <c r="M76" i="3" s="1"/>
  <c r="M80" i="3" a="1"/>
  <c r="M80" i="3" s="1"/>
  <c r="M84" i="3" a="1"/>
  <c r="M84" i="3" s="1"/>
  <c r="M88" i="3" a="1"/>
  <c r="M88" i="3" s="1"/>
  <c r="K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<sst xmlns="http://schemas.openxmlformats.org/spreadsheetml/2006/main" count="20" uniqueCount="20">
  <si>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</si>
  <si>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</si>
  <si>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</si>
  <si>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</si>
  <si>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</si>
  <si>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</si>
  <si>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</si>
  <si>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</si>
  <si>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</si>
  <si>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</si>
  <si>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Outcome</t>
  </si>
  <si>
    <t>PatientID</t>
  </si>
  <si>
    <t>Gene1</t>
  </si>
  <si>
    <t>Gene2</t>
  </si>
  <si>
    <t>Gene3</t>
  </si>
  <si>
    <t>Gene4</t>
  </si>
  <si>
    <t>Gene5</t>
  </si>
  <si>
    <t>Likelihood</t>
  </si>
  <si>
    <t>Log loss</t>
  </si>
  <si>
    <t>total Diff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</si>
</sst>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G5" sqref="G5"/>
    </sheetView>
  </sheetViews>
  <sheetFormatPr defaultRowHeight="14.5" x14ac:dyDescent="0.35"/>
  <cols>
    <col min="7" max="7" width="14" bestFit="1" customWidth="1"/>
    <col min="8" max="8" width="16.1796875" bestFit="1" customWidth="1"/>
    <col min="9" max="9" width="12" bestFit="1" customWidth="1"/>
    <col min="10" max="11" width="12" customWidth="1"/>
    <col min="12" max="12" width="12" bestFit="1" customWidth="1"/>
    <col min="13" max="13" width="14.1796875" bestFit="1" customWidth="1"/>
  </cols>
  <sheetData>
    <row r="1" spans="1:13" x14ac:dyDescent="0.35">
      <c r="B1">
        <v>5</v>
      </c>
      <c r="C1">
        <v>4</v>
      </c>
      <c r="D1">
        <v>3</v>
      </c>
      <c r="E1">
        <v>2</v>
      </c>
      <c r="F1">
        <v>1</v>
      </c>
      <c r="G1">
        <v>6</v>
      </c>
    </row>
    <row r="2" spans="1:13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19</v>
      </c>
      <c r="K2">
        <f>SUM(K6:K92)</f>
        <v>-2</v>
      </c>
    </row>
    <row r="3" spans="1:13" x14ac:dyDescent="0.35">
      <c r="B3">
        <f>INDEX(LINEST($G$6:$G$92,$B$6:$F$92),1,B$1)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35">
      <c r="B4">
        <v>-2.0319700999999999E-2</v>
      </c>
      <c r="C4">
        <v>-7.9392419999999991E-3</v>
      </c>
      <c r="D4">
        <v>-9.7137357999999993E-2</v>
      </c>
      <c r="E4">
        <v>-1.0730979E-2</v>
      </c>
      <c r="F4">
        <v>-3.7996610000000002E-3</v>
      </c>
      <c r="G4">
        <v>4.2229987820000003</v>
      </c>
    </row>
    <row r="5" spans="1:13" x14ac:dyDescent="0.3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0</v>
      </c>
      <c r="H5" t="s">
        <v>8</v>
      </c>
      <c r="I5" t="s">
        <v>7</v>
      </c>
      <c r="J5" t="s">
        <v>10</v>
      </c>
      <c r="K5" t="s">
        <v>9</v>
      </c>
      <c r="L5" t="s">
        <v>17</v>
      </c>
      <c r="M5" t="s">
        <v>18</v>
      </c>
    </row>
    <row r="6" spans="1:13" x14ac:dyDescent="0.35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$G$4+$B$4*B6+$C$4*C6+$D$4*D6+$E$4*E6+$F$4*F6</f>
        <v>-35.674317322513119</v>
      </c>
      <c r="I6">
        <f>1/(1+EXP(-H6))</f>
        <v>3.2124830225293656E-16</v>
      </c>
      <c r="J6">
        <f>IF(I6&gt;=0.5,1,0)</f>
        <v>0</v>
      </c>
      <c r="K6">
        <f>G6 - J6</f>
        <v>0</v>
      </c>
      <c r="L6">
        <f>IF(G6=1,I6,1-I6)</f>
        <v>0.99999999999999967</v>
      </c>
      <c r="M6">
        <f>IF(G6=1, -LN(I6), -LN(1-I6))</f>
        <v>3.3306690738754701E-16</v>
      </c>
    </row>
    <row r="7" spans="1:13" x14ac:dyDescent="0.35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$G$4+$B$4*B7+$C$4*C7+$D$4*D7+$E$4*E7+$F$4*F7</f>
        <v>-2.1258482562562619</v>
      </c>
      <c r="I7">
        <f t="shared" ref="I7:I70" si="2">1/(1+EXP(-H7))</f>
        <v>0.10660977555149048</v>
      </c>
      <c r="J7">
        <f t="shared" ref="J7:J70" si="3">IF(I7&gt;=0.5,1,0)</f>
        <v>0</v>
      </c>
      <c r="K7">
        <f t="shared" ref="K7:K70" si="4">G7 - J7</f>
        <v>0</v>
      </c>
      <c r="L7">
        <f t="shared" ref="L7:L70" si="5">IF(G7=1,I7,1-I7)</f>
        <v>0.89339022444850946</v>
      </c>
      <c r="M7">
        <f>IF(G7=1, -LN(I7), -LN(1-I7))</f>
        <v>0.11273181208893719</v>
      </c>
    </row>
    <row r="8" spans="1:13" x14ac:dyDescent="0.35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1"/>
        <v>-0.64295320918744925</v>
      </c>
      <c r="I8">
        <f t="shared" si="2"/>
        <v>0.34457926786246323</v>
      </c>
      <c r="J8">
        <f t="shared" si="3"/>
        <v>0</v>
      </c>
      <c r="K8">
        <f t="shared" si="4"/>
        <v>1</v>
      </c>
      <c r="L8">
        <f t="shared" si="5"/>
        <v>0.34457926786246323</v>
      </c>
      <c r="M8">
        <f>IF(G8=1, -LN(I8), -LN(1-I8))</f>
        <v>1.065431119604543</v>
      </c>
    </row>
    <row r="9" spans="1:13" x14ac:dyDescent="0.35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1"/>
        <v>2.0492994661865724</v>
      </c>
      <c r="I9">
        <f t="shared" si="2"/>
        <v>0.8858768145360234</v>
      </c>
      <c r="J9">
        <f t="shared" si="3"/>
        <v>1</v>
      </c>
      <c r="K9">
        <f t="shared" si="4"/>
        <v>0</v>
      </c>
      <c r="L9">
        <f t="shared" si="5"/>
        <v>0.8858768145360234</v>
      </c>
      <c r="M9">
        <f>IF(G9=1, -LN(I9), -LN(1-I9))</f>
        <v>0.12117737355577787</v>
      </c>
    </row>
    <row r="10" spans="1:13" x14ac:dyDescent="0.35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1"/>
        <v>-4.9878490717850958</v>
      </c>
      <c r="I10">
        <f t="shared" si="2"/>
        <v>6.7741171046259794E-3</v>
      </c>
      <c r="J10">
        <f t="shared" si="3"/>
        <v>0</v>
      </c>
      <c r="K10">
        <f t="shared" si="4"/>
        <v>0</v>
      </c>
      <c r="L10">
        <f t="shared" si="5"/>
        <v>0.99322588289537406</v>
      </c>
      <c r="M10">
        <f>IF(G10=1, -LN(I10), -LN(1-I10))</f>
        <v>6.797165583602308E-3</v>
      </c>
    </row>
    <row r="11" spans="1:13" x14ac:dyDescent="0.35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-6.9288614572601759</v>
      </c>
      <c r="I11">
        <f t="shared" si="2"/>
        <v>9.7815726985194212E-4</v>
      </c>
      <c r="J11">
        <f t="shared" si="3"/>
        <v>0</v>
      </c>
      <c r="K11">
        <f t="shared" si="4"/>
        <v>0</v>
      </c>
      <c r="L11">
        <f t="shared" si="5"/>
        <v>0.99902184273014805</v>
      </c>
      <c r="M11">
        <f t="array" ref="M11">IF(G11=1, -LN(I11), -LN(1-I11))</f>
        <v>9.7863597786751184E-4</v>
      </c>
    </row>
    <row r="12" spans="1:13" x14ac:dyDescent="0.35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0.39279448773345466</v>
      </c>
      <c r="I12">
        <f t="shared" si="2"/>
        <v>0.59695523393753758</v>
      </c>
      <c r="J12">
        <f t="shared" si="3"/>
        <v>1</v>
      </c>
      <c r="K12">
        <f t="shared" si="4"/>
        <v>-1</v>
      </c>
      <c r="L12">
        <f t="shared" si="5"/>
        <v>0.40304476606246242</v>
      </c>
      <c r="M12">
        <f t="array" ref="M12">IF(G12=1, -LN(I12), -LN(1-I12))</f>
        <v>0.90870764116375746</v>
      </c>
    </row>
    <row r="13" spans="1:13" x14ac:dyDescent="0.35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0.27970123732253294</v>
      </c>
      <c r="I13">
        <f t="shared" si="2"/>
        <v>0.56947297676714026</v>
      </c>
      <c r="J13">
        <f t="shared" si="3"/>
        <v>1</v>
      </c>
      <c r="K13">
        <f t="shared" si="4"/>
        <v>0</v>
      </c>
      <c r="L13">
        <f t="shared" si="5"/>
        <v>0.56947297676714026</v>
      </c>
      <c r="M13">
        <f t="array" ref="M13">IF(G13=1, -LN(I13), -LN(1-I13))</f>
        <v>0.56304394802469315</v>
      </c>
    </row>
    <row r="14" spans="1:13" x14ac:dyDescent="0.35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1"/>
        <v>-2.442906340672883</v>
      </c>
      <c r="I14">
        <f t="shared" si="2"/>
        <v>7.9958844798417569E-2</v>
      </c>
      <c r="J14">
        <f t="shared" si="3"/>
        <v>0</v>
      </c>
      <c r="K14">
        <f t="shared" si="4"/>
        <v>0</v>
      </c>
      <c r="L14">
        <f t="shared" si="5"/>
        <v>0.92004115520158247</v>
      </c>
      <c r="M14">
        <f t="array" ref="M14">IF(G14=1, -LN(I14), -LN(1-I14))</f>
        <v>8.3336876024819234E-2</v>
      </c>
    </row>
    <row r="15" spans="1:13" x14ac:dyDescent="0.35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-30.484232799450172</v>
      </c>
      <c r="I15">
        <f t="shared" si="2"/>
        <v>5.7658841233050253E-14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array" ref="M15">IF(G15=1, -LN(I15), -LN(1-I15))</f>
        <v>5.7620574978047291E-14</v>
      </c>
    </row>
    <row r="16" spans="1:13" x14ac:dyDescent="0.35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-4.5701459513674072</v>
      </c>
      <c r="I16">
        <f t="shared" si="2"/>
        <v>1.0250291458359394E-2</v>
      </c>
      <c r="J16">
        <f t="shared" si="3"/>
        <v>0</v>
      </c>
      <c r="K16">
        <f t="shared" si="4"/>
        <v>0</v>
      </c>
      <c r="L16">
        <f t="shared" si="5"/>
        <v>0.98974970854164057</v>
      </c>
      <c r="M16">
        <f t="array" ref="M16">IF(G16=1, -LN(I16), -LN(1-I16))</f>
        <v>1.0303187472686487E-2</v>
      </c>
    </row>
    <row r="17" spans="1:13" x14ac:dyDescent="0.35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0.51141907933757902</v>
      </c>
      <c r="I17">
        <f t="shared" si="2"/>
        <v>0.62513908082822256</v>
      </c>
      <c r="J17">
        <f t="shared" si="3"/>
        <v>1</v>
      </c>
      <c r="K17">
        <f t="shared" si="4"/>
        <v>0</v>
      </c>
      <c r="L17">
        <f t="shared" si="5"/>
        <v>0.62513908082822256</v>
      </c>
      <c r="M17">
        <f t="array" ref="M17">IF(G17=1, -LN(I17), -LN(1-I17))</f>
        <v>0.46978112467655719</v>
      </c>
    </row>
    <row r="18" spans="1:13" x14ac:dyDescent="0.35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1"/>
        <v>1.4236335541204794</v>
      </c>
      <c r="I18">
        <f t="shared" si="2"/>
        <v>0.8059074111561858</v>
      </c>
      <c r="J18">
        <f t="shared" si="3"/>
        <v>1</v>
      </c>
      <c r="K18">
        <f t="shared" si="4"/>
        <v>0</v>
      </c>
      <c r="L18">
        <f t="shared" si="5"/>
        <v>0.8059074111561858</v>
      </c>
      <c r="M18">
        <f t="array" ref="M18">IF(G18=1, -LN(I18), -LN(1-I18))</f>
        <v>0.21578641757013642</v>
      </c>
    </row>
    <row r="19" spans="1:13" x14ac:dyDescent="0.35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-2.3988937274819078</v>
      </c>
      <c r="I19">
        <f t="shared" si="2"/>
        <v>8.3257094212996804E-2</v>
      </c>
      <c r="J19">
        <f t="shared" si="3"/>
        <v>0</v>
      </c>
      <c r="K19">
        <f t="shared" si="4"/>
        <v>0</v>
      </c>
      <c r="L19">
        <f t="shared" si="5"/>
        <v>0.91674290578700324</v>
      </c>
      <c r="M19">
        <f t="array" ref="M19">IF(G19=1, -LN(I19), -LN(1-I19))</f>
        <v>8.6928210498600181E-2</v>
      </c>
    </row>
    <row r="20" spans="1:13" x14ac:dyDescent="0.35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-36.616680448531454</v>
      </c>
      <c r="I20">
        <f t="shared" si="2"/>
        <v>1.2519233382497531E-16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array" ref="M20">IF(G20=1, -LN(I20), -LN(1-I20))</f>
        <v>1.1102230246251565E-16</v>
      </c>
    </row>
    <row r="21" spans="1:13" x14ac:dyDescent="0.35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1"/>
        <v>-13.874586646407153</v>
      </c>
      <c r="I21">
        <f t="shared" si="2"/>
        <v>9.4263415423576548E-7</v>
      </c>
      <c r="J21">
        <f t="shared" si="3"/>
        <v>0</v>
      </c>
      <c r="K21">
        <f t="shared" si="4"/>
        <v>0</v>
      </c>
      <c r="L21">
        <f t="shared" si="5"/>
        <v>0.99999905736584571</v>
      </c>
      <c r="M21">
        <f t="array" ref="M21">IF(G21=1, -LN(I21), -LN(1-I21))</f>
        <v>9.426345985682667E-7</v>
      </c>
    </row>
    <row r="22" spans="1:13" x14ac:dyDescent="0.35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1"/>
        <v>-6.0288028108557441</v>
      </c>
      <c r="I22">
        <f t="shared" si="2"/>
        <v>2.4025891973944824E-3</v>
      </c>
      <c r="J22">
        <f t="shared" si="3"/>
        <v>0</v>
      </c>
      <c r="K22">
        <f t="shared" si="4"/>
        <v>0</v>
      </c>
      <c r="L22">
        <f t="shared" si="5"/>
        <v>0.99759741080260556</v>
      </c>
      <c r="M22">
        <f t="array" ref="M22">IF(G22=1, -LN(I22), -LN(1-I22))</f>
        <v>2.4054800460963296E-3</v>
      </c>
    </row>
    <row r="23" spans="1:13" x14ac:dyDescent="0.35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-8.1942396913514024</v>
      </c>
      <c r="I23">
        <f t="shared" si="2"/>
        <v>2.7616393714187371E-4</v>
      </c>
      <c r="J23">
        <f t="shared" si="3"/>
        <v>0</v>
      </c>
      <c r="K23">
        <f t="shared" si="4"/>
        <v>0</v>
      </c>
      <c r="L23">
        <f t="shared" si="5"/>
        <v>0.99972383606285808</v>
      </c>
      <c r="M23">
        <f t="array" ref="M23">IF(G23=1, -LN(I23), -LN(1-I23))</f>
        <v>2.7620207742414638E-4</v>
      </c>
    </row>
    <row r="24" spans="1:13" x14ac:dyDescent="0.35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1"/>
        <v>1.5182028495590543</v>
      </c>
      <c r="I24">
        <f t="shared" si="2"/>
        <v>0.82027368859258121</v>
      </c>
      <c r="J24">
        <f t="shared" si="3"/>
        <v>1</v>
      </c>
      <c r="K24">
        <f t="shared" si="4"/>
        <v>0</v>
      </c>
      <c r="L24">
        <f t="shared" si="5"/>
        <v>0.82027368859258121</v>
      </c>
      <c r="M24">
        <f t="array" ref="M24">IF(G24=1, -LN(I24), -LN(1-I24))</f>
        <v>0.19811722783519267</v>
      </c>
    </row>
    <row r="25" spans="1:13" x14ac:dyDescent="0.35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-4.4380633744098565</v>
      </c>
      <c r="I25">
        <f t="shared" si="2"/>
        <v>1.1680752435925798E-2</v>
      </c>
      <c r="J25">
        <f t="shared" si="3"/>
        <v>0</v>
      </c>
      <c r="K25">
        <f t="shared" si="4"/>
        <v>0</v>
      </c>
      <c r="L25">
        <f t="shared" si="5"/>
        <v>0.98831924756407419</v>
      </c>
      <c r="M25">
        <f t="array" ref="M25">IF(G25=1, -LN(I25), -LN(1-I25))</f>
        <v>1.1749508363077504E-2</v>
      </c>
    </row>
    <row r="26" spans="1:13" x14ac:dyDescent="0.35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-2.5296651242813288</v>
      </c>
      <c r="I26">
        <f t="shared" si="2"/>
        <v>7.3804534577530292E-2</v>
      </c>
      <c r="J26">
        <f t="shared" si="3"/>
        <v>0</v>
      </c>
      <c r="K26">
        <f t="shared" si="4"/>
        <v>0</v>
      </c>
      <c r="L26">
        <f t="shared" si="5"/>
        <v>0.92619546542246967</v>
      </c>
      <c r="M26">
        <f t="array" ref="M26">IF(G26=1, -LN(I26), -LN(1-I26))</f>
        <v>7.666998084201837E-2</v>
      </c>
    </row>
    <row r="27" spans="1:13" x14ac:dyDescent="0.35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1"/>
        <v>-4.1743941972303755</v>
      </c>
      <c r="I27">
        <f t="shared" si="2"/>
        <v>1.5151411782542319E-2</v>
      </c>
      <c r="J27">
        <f t="shared" si="3"/>
        <v>0</v>
      </c>
      <c r="K27">
        <f t="shared" si="4"/>
        <v>0</v>
      </c>
      <c r="L27">
        <f t="shared" si="5"/>
        <v>0.98484858821745769</v>
      </c>
      <c r="M27">
        <f t="array" ref="M27">IF(G27=1, -LN(I27), -LN(1-I27))</f>
        <v>1.5267367171529213E-2</v>
      </c>
    </row>
    <row r="28" spans="1:13" x14ac:dyDescent="0.35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0.56665870175193023</v>
      </c>
      <c r="I28">
        <f t="shared" si="2"/>
        <v>0.63799183110020052</v>
      </c>
      <c r="J28">
        <f t="shared" si="3"/>
        <v>1</v>
      </c>
      <c r="K28">
        <f t="shared" si="4"/>
        <v>-1</v>
      </c>
      <c r="L28">
        <f t="shared" si="5"/>
        <v>0.36200816889979948</v>
      </c>
      <c r="M28">
        <f t="array" ref="M28">IF(G28=1, -LN(I28), -LN(1-I28))</f>
        <v>1.0160885013894294</v>
      </c>
    </row>
    <row r="29" spans="1:13" x14ac:dyDescent="0.35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-3.5749196705480593</v>
      </c>
      <c r="I29">
        <f t="shared" si="2"/>
        <v>2.725408032717646E-2</v>
      </c>
      <c r="J29">
        <f t="shared" si="3"/>
        <v>0</v>
      </c>
      <c r="K29">
        <f t="shared" si="4"/>
        <v>0</v>
      </c>
      <c r="L29">
        <f t="shared" si="5"/>
        <v>0.97274591967282353</v>
      </c>
      <c r="M29">
        <f t="array" ref="M29">IF(G29=1, -LN(I29), -LN(1-I29))</f>
        <v>2.7632361757139196E-2</v>
      </c>
    </row>
    <row r="30" spans="1:13" x14ac:dyDescent="0.35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-5.8120860032696475</v>
      </c>
      <c r="I30">
        <f t="shared" si="2"/>
        <v>2.9822634418718756E-3</v>
      </c>
      <c r="J30">
        <f t="shared" si="3"/>
        <v>0</v>
      </c>
      <c r="K30">
        <f t="shared" si="4"/>
        <v>0</v>
      </c>
      <c r="L30">
        <f t="shared" si="5"/>
        <v>0.99701773655812809</v>
      </c>
      <c r="M30">
        <f t="array" ref="M30">IF(G30=1, -LN(I30), -LN(1-I30))</f>
        <v>2.9867192506257902E-3</v>
      </c>
    </row>
    <row r="31" spans="1:13" x14ac:dyDescent="0.35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-2.0591439822443331</v>
      </c>
      <c r="I31">
        <f t="shared" si="2"/>
        <v>0.11313168838545234</v>
      </c>
      <c r="J31">
        <f t="shared" si="3"/>
        <v>0</v>
      </c>
      <c r="K31">
        <f t="shared" si="4"/>
        <v>0</v>
      </c>
      <c r="L31">
        <f t="shared" si="5"/>
        <v>0.88686831161454771</v>
      </c>
      <c r="M31">
        <f t="array" ref="M31">IF(G31=1, -LN(I31), -LN(1-I31))</f>
        <v>0.12005877261615717</v>
      </c>
    </row>
    <row r="32" spans="1:13" x14ac:dyDescent="0.35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-17.18391756541271</v>
      </c>
      <c r="I32">
        <f t="shared" si="2"/>
        <v>3.4444462250375993E-8</v>
      </c>
      <c r="J32">
        <f t="shared" si="3"/>
        <v>0</v>
      </c>
      <c r="K32">
        <f t="shared" si="4"/>
        <v>0</v>
      </c>
      <c r="L32">
        <f t="shared" si="5"/>
        <v>0.99999996555553772</v>
      </c>
      <c r="M32">
        <f t="array" ref="M32">IF(G32=1, -LN(I32), -LN(1-I32))</f>
        <v>3.4444462875611894E-8</v>
      </c>
    </row>
    <row r="33" spans="1:13" x14ac:dyDescent="0.35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1"/>
        <v>0.53576889834352892</v>
      </c>
      <c r="I33">
        <f t="shared" si="2"/>
        <v>0.63082760788387937</v>
      </c>
      <c r="J33">
        <f t="shared" si="3"/>
        <v>1</v>
      </c>
      <c r="K33">
        <f t="shared" si="4"/>
        <v>0</v>
      </c>
      <c r="L33">
        <f t="shared" si="5"/>
        <v>0.63082760788387937</v>
      </c>
      <c r="M33">
        <f t="array" ref="M33">IF(G33=1, -LN(I33), -LN(1-I33))</f>
        <v>0.46072265838953258</v>
      </c>
    </row>
    <row r="34" spans="1:13" x14ac:dyDescent="0.35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-2.3400399028038175</v>
      </c>
      <c r="I34">
        <f t="shared" si="2"/>
        <v>8.7860716917676551E-2</v>
      </c>
      <c r="J34">
        <f t="shared" si="3"/>
        <v>0</v>
      </c>
      <c r="K34">
        <f t="shared" si="4"/>
        <v>1</v>
      </c>
      <c r="L34">
        <f t="shared" si="5"/>
        <v>8.7860716917676551E-2</v>
      </c>
      <c r="M34">
        <f t="array" ref="M34">IF(G34=1, -LN(I34), -LN(1-I34))</f>
        <v>2.4320024806945577</v>
      </c>
    </row>
    <row r="35" spans="1:13" x14ac:dyDescent="0.35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1"/>
        <v>-3.2436985187521556</v>
      </c>
      <c r="I35">
        <f t="shared" si="2"/>
        <v>3.7553983546278522E-2</v>
      </c>
      <c r="J35">
        <f t="shared" si="3"/>
        <v>0</v>
      </c>
      <c r="K35">
        <f t="shared" si="4"/>
        <v>0</v>
      </c>
      <c r="L35">
        <f t="shared" si="5"/>
        <v>0.96244601645372152</v>
      </c>
      <c r="M35">
        <f t="array" ref="M35">IF(G35=1, -LN(I35), -LN(1-I35))</f>
        <v>3.8277301194449512E-2</v>
      </c>
    </row>
    <row r="36" spans="1:13" x14ac:dyDescent="0.35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1"/>
        <v>-12.399558717324934</v>
      </c>
      <c r="I36">
        <f t="shared" si="2"/>
        <v>4.1203895927639186E-6</v>
      </c>
      <c r="J36">
        <f t="shared" si="3"/>
        <v>0</v>
      </c>
      <c r="K36">
        <f t="shared" si="4"/>
        <v>0</v>
      </c>
      <c r="L36">
        <f t="shared" si="5"/>
        <v>0.99999587961040726</v>
      </c>
      <c r="M36">
        <f t="array" ref="M36">IF(G36=1, -LN(I36), -LN(1-I36))</f>
        <v>4.1203980815718172E-6</v>
      </c>
    </row>
    <row r="37" spans="1:13" x14ac:dyDescent="0.35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-4.2890538867281593</v>
      </c>
      <c r="I37">
        <f t="shared" si="2"/>
        <v>1.3532263634709702E-2</v>
      </c>
      <c r="J37">
        <f t="shared" si="3"/>
        <v>0</v>
      </c>
      <c r="K37">
        <f t="shared" si="4"/>
        <v>0</v>
      </c>
      <c r="L37">
        <f t="shared" si="5"/>
        <v>0.98646773636529028</v>
      </c>
      <c r="M37">
        <f t="array" ref="M37">IF(G37=1, -LN(I37), -LN(1-I37))</f>
        <v>1.3624659208584904E-2</v>
      </c>
    </row>
    <row r="38" spans="1:13" x14ac:dyDescent="0.35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1.8224776883904221</v>
      </c>
      <c r="I38">
        <f t="shared" si="2"/>
        <v>0.86086316447581301</v>
      </c>
      <c r="J38">
        <f t="shared" si="3"/>
        <v>1</v>
      </c>
      <c r="K38">
        <f t="shared" si="4"/>
        <v>0</v>
      </c>
      <c r="L38">
        <f t="shared" si="5"/>
        <v>0.86086316447581301</v>
      </c>
      <c r="M38">
        <f t="array" ref="M38">IF(G38=1, -LN(I38), -LN(1-I38))</f>
        <v>0.14981971346116507</v>
      </c>
    </row>
    <row r="39" spans="1:13" x14ac:dyDescent="0.35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1"/>
        <v>-0.9723829301982474</v>
      </c>
      <c r="I39">
        <f t="shared" si="2"/>
        <v>0.27440578855757725</v>
      </c>
      <c r="J39">
        <f t="shared" si="3"/>
        <v>0</v>
      </c>
      <c r="K39">
        <f t="shared" si="4"/>
        <v>0</v>
      </c>
      <c r="L39">
        <f t="shared" si="5"/>
        <v>0.72559421144242275</v>
      </c>
      <c r="M39">
        <f t="array" ref="M39">IF(G39=1, -LN(I39), -LN(1-I39))</f>
        <v>0.32076435782821516</v>
      </c>
    </row>
    <row r="40" spans="1:13" x14ac:dyDescent="0.35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1"/>
        <v>-2.2547255732068257</v>
      </c>
      <c r="I40">
        <f t="shared" si="2"/>
        <v>9.4942625385918453E-2</v>
      </c>
      <c r="J40">
        <f t="shared" si="3"/>
        <v>0</v>
      </c>
      <c r="K40">
        <f t="shared" si="4"/>
        <v>0</v>
      </c>
      <c r="L40">
        <f t="shared" si="5"/>
        <v>0.90505737461408153</v>
      </c>
      <c r="M40">
        <f t="array" ref="M40">IF(G40=1, -LN(I40), -LN(1-I40))</f>
        <v>9.9756939928112853E-2</v>
      </c>
    </row>
    <row r="41" spans="1:13" x14ac:dyDescent="0.35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1"/>
        <v>-0.65485340641726608</v>
      </c>
      <c r="I41">
        <f t="shared" si="2"/>
        <v>0.34189666823269382</v>
      </c>
      <c r="J41">
        <f t="shared" si="3"/>
        <v>0</v>
      </c>
      <c r="K41">
        <f t="shared" si="4"/>
        <v>0</v>
      </c>
      <c r="L41">
        <f t="shared" si="5"/>
        <v>0.65810333176730618</v>
      </c>
      <c r="M41">
        <f t="array" ref="M41">IF(G41=1, -LN(I41), -LN(1-I41))</f>
        <v>0.41839332082613817</v>
      </c>
    </row>
    <row r="42" spans="1:13" x14ac:dyDescent="0.35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1"/>
        <v>-11.715629251719497</v>
      </c>
      <c r="I42">
        <f t="shared" si="2"/>
        <v>8.1651340267579712E-6</v>
      </c>
      <c r="J42">
        <f t="shared" si="3"/>
        <v>0</v>
      </c>
      <c r="K42">
        <f t="shared" si="4"/>
        <v>0</v>
      </c>
      <c r="L42">
        <f t="shared" si="5"/>
        <v>0.99999183486597321</v>
      </c>
      <c r="M42">
        <f t="array" ref="M42">IF(G42=1, -LN(I42), -LN(1-I42))</f>
        <v>8.1651673616823798E-6</v>
      </c>
    </row>
    <row r="43" spans="1:13" x14ac:dyDescent="0.35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1"/>
        <v>-0.47252771946283134</v>
      </c>
      <c r="I43">
        <f t="shared" si="2"/>
        <v>0.3840181410715236</v>
      </c>
      <c r="J43">
        <f t="shared" si="3"/>
        <v>0</v>
      </c>
      <c r="K43">
        <f t="shared" si="4"/>
        <v>0</v>
      </c>
      <c r="L43">
        <f t="shared" si="5"/>
        <v>0.61598185892847646</v>
      </c>
      <c r="M43">
        <f t="array" ref="M43">IF(G43=1, -LN(I43), -LN(1-I43))</f>
        <v>0.48453776567370521</v>
      </c>
    </row>
    <row r="44" spans="1:13" x14ac:dyDescent="0.35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-8.3023131298659258</v>
      </c>
      <c r="I44">
        <f t="shared" si="2"/>
        <v>2.4788117943998547E-4</v>
      </c>
      <c r="J44">
        <f t="shared" si="3"/>
        <v>0</v>
      </c>
      <c r="K44">
        <f t="shared" si="4"/>
        <v>0</v>
      </c>
      <c r="L44">
        <f t="shared" si="5"/>
        <v>0.99975211882056003</v>
      </c>
      <c r="M44">
        <f t="array" ref="M44">IF(G44=1, -LN(I44), -LN(1-I44))</f>
        <v>2.4791190705749879E-4</v>
      </c>
    </row>
    <row r="45" spans="1:13" x14ac:dyDescent="0.35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1"/>
        <v>-13.376047820170911</v>
      </c>
      <c r="I45">
        <f t="shared" si="2"/>
        <v>1.5518708233529375E-6</v>
      </c>
      <c r="J45">
        <f t="shared" si="3"/>
        <v>0</v>
      </c>
      <c r="K45">
        <f t="shared" si="4"/>
        <v>0</v>
      </c>
      <c r="L45">
        <f t="shared" si="5"/>
        <v>0.9999984481291766</v>
      </c>
      <c r="M45">
        <f t="array" ref="M45">IF(G45=1, -LN(I45), -LN(1-I45))</f>
        <v>1.551872027554685E-6</v>
      </c>
    </row>
    <row r="46" spans="1:13" x14ac:dyDescent="0.35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1"/>
        <v>-1.7737816132529574</v>
      </c>
      <c r="I46">
        <f t="shared" si="2"/>
        <v>0.14507267851196129</v>
      </c>
      <c r="J46">
        <f t="shared" si="3"/>
        <v>0</v>
      </c>
      <c r="K46">
        <f t="shared" si="4"/>
        <v>0</v>
      </c>
      <c r="L46">
        <f t="shared" si="5"/>
        <v>0.85492732148803874</v>
      </c>
      <c r="M46">
        <f t="array" ref="M46">IF(G46=1, -LN(I46), -LN(1-I46))</f>
        <v>0.15673881776598778</v>
      </c>
    </row>
    <row r="47" spans="1:13" x14ac:dyDescent="0.35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-7.4909108247033744</v>
      </c>
      <c r="I47">
        <f t="shared" si="2"/>
        <v>5.5782302612470249E-4</v>
      </c>
      <c r="J47">
        <f t="shared" si="3"/>
        <v>0</v>
      </c>
      <c r="K47">
        <f t="shared" si="4"/>
        <v>0</v>
      </c>
      <c r="L47">
        <f t="shared" si="5"/>
        <v>0.99944217697387527</v>
      </c>
      <c r="M47">
        <f t="array" ref="M47">IF(G47=1, -LN(I47), -LN(1-I47))</f>
        <v>5.57978667271799E-4</v>
      </c>
    </row>
    <row r="48" spans="1:13" x14ac:dyDescent="0.35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1"/>
        <v>1.1524683788373382</v>
      </c>
      <c r="I48">
        <f t="shared" si="2"/>
        <v>0.75996148757320758</v>
      </c>
      <c r="J48">
        <f t="shared" si="3"/>
        <v>1</v>
      </c>
      <c r="K48">
        <f t="shared" si="4"/>
        <v>0</v>
      </c>
      <c r="L48">
        <f t="shared" si="5"/>
        <v>0.75996148757320758</v>
      </c>
      <c r="M48">
        <f t="array" ref="M48">IF(G48=1, -LN(I48), -LN(1-I48))</f>
        <v>0.27448752123152276</v>
      </c>
    </row>
    <row r="49" spans="1:13" x14ac:dyDescent="0.35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0.67204842783944863</v>
      </c>
      <c r="I49">
        <f t="shared" si="2"/>
        <v>0.66196168461233773</v>
      </c>
      <c r="J49">
        <f t="shared" si="3"/>
        <v>1</v>
      </c>
      <c r="K49">
        <f t="shared" si="4"/>
        <v>0</v>
      </c>
      <c r="L49">
        <f t="shared" si="5"/>
        <v>0.66196168461233773</v>
      </c>
      <c r="M49">
        <f t="array" ref="M49">IF(G49=1, -LN(I49), -LN(1-I49))</f>
        <v>0.41254760294923526</v>
      </c>
    </row>
    <row r="50" spans="1:13" x14ac:dyDescent="0.35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1"/>
        <v>-15.555693797711029</v>
      </c>
      <c r="I50">
        <f t="shared" si="2"/>
        <v>1.7548821045364714E-7</v>
      </c>
      <c r="J50">
        <f t="shared" si="3"/>
        <v>0</v>
      </c>
      <c r="K50">
        <f t="shared" si="4"/>
        <v>0</v>
      </c>
      <c r="L50">
        <f t="shared" si="5"/>
        <v>0.99999982451178959</v>
      </c>
      <c r="M50">
        <f t="array" ref="M50">IF(G50=1, -LN(I50), -LN(1-I50))</f>
        <v>1.7548822580575048E-7</v>
      </c>
    </row>
    <row r="51" spans="1:13" x14ac:dyDescent="0.35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-7.4579674903731408E-2</v>
      </c>
      <c r="I51">
        <f t="shared" si="2"/>
        <v>0.48136371858848104</v>
      </c>
      <c r="J51">
        <f t="shared" si="3"/>
        <v>0</v>
      </c>
      <c r="K51">
        <f t="shared" si="4"/>
        <v>1</v>
      </c>
      <c r="L51">
        <f t="shared" si="5"/>
        <v>0.48136371858848104</v>
      </c>
      <c r="M51">
        <f t="array" ref="M51">IF(G51=1, -LN(I51), -LN(1-I51))</f>
        <v>0.73113212292852969</v>
      </c>
    </row>
    <row r="52" spans="1:13" x14ac:dyDescent="0.35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1"/>
        <v>-0.67849866653067525</v>
      </c>
      <c r="I52">
        <f t="shared" si="2"/>
        <v>0.33659646699994228</v>
      </c>
      <c r="J52">
        <f t="shared" si="3"/>
        <v>0</v>
      </c>
      <c r="K52">
        <f t="shared" si="4"/>
        <v>0</v>
      </c>
      <c r="L52">
        <f t="shared" si="5"/>
        <v>0.66340353300005772</v>
      </c>
      <c r="M52">
        <f t="array" ref="M52">IF(G52=1, -LN(I52), -LN(1-I52))</f>
        <v>0.41037182688786139</v>
      </c>
    </row>
    <row r="53" spans="1:13" x14ac:dyDescent="0.35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-9.1540471853986212</v>
      </c>
      <c r="I53">
        <f t="shared" si="2"/>
        <v>1.0577958975877057E-4</v>
      </c>
      <c r="J53">
        <f t="shared" si="3"/>
        <v>0</v>
      </c>
      <c r="K53">
        <f t="shared" si="4"/>
        <v>0</v>
      </c>
      <c r="L53">
        <f t="shared" si="5"/>
        <v>0.99989422041024123</v>
      </c>
      <c r="M53">
        <f t="array" ref="M53">IF(G53=1, -LN(I53), -LN(1-I53))</f>
        <v>1.0578518481413991E-4</v>
      </c>
    </row>
    <row r="54" spans="1:13" x14ac:dyDescent="0.35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-6.496728446183007</v>
      </c>
      <c r="I54">
        <f t="shared" si="2"/>
        <v>1.5060940888324782E-3</v>
      </c>
      <c r="J54">
        <f t="shared" si="3"/>
        <v>0</v>
      </c>
      <c r="K54">
        <f t="shared" si="4"/>
        <v>0</v>
      </c>
      <c r="L54">
        <f t="shared" si="5"/>
        <v>0.99849390591116749</v>
      </c>
      <c r="M54">
        <f t="array" ref="M54">IF(G54=1, -LN(I54), -LN(1-I54))</f>
        <v>1.5072293885900706E-3</v>
      </c>
    </row>
    <row r="55" spans="1:13" x14ac:dyDescent="0.35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-0.9276131218641458</v>
      </c>
      <c r="I55">
        <f t="shared" si="2"/>
        <v>0.28340921113760459</v>
      </c>
      <c r="J55">
        <f t="shared" si="3"/>
        <v>0</v>
      </c>
      <c r="K55">
        <f t="shared" si="4"/>
        <v>0</v>
      </c>
      <c r="L55">
        <f t="shared" si="5"/>
        <v>0.71659078886239547</v>
      </c>
      <c r="M55">
        <f t="array" ref="M55">IF(G55=1, -LN(I55), -LN(1-I55))</f>
        <v>0.33325032813975802</v>
      </c>
    </row>
    <row r="56" spans="1:13" x14ac:dyDescent="0.35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1"/>
        <v>-0.56859319147117948</v>
      </c>
      <c r="I56">
        <f t="shared" si="2"/>
        <v>0.36156150190506781</v>
      </c>
      <c r="J56">
        <f t="shared" si="3"/>
        <v>0</v>
      </c>
      <c r="K56">
        <f t="shared" si="4"/>
        <v>0</v>
      </c>
      <c r="L56">
        <f t="shared" si="5"/>
        <v>0.63843849809493225</v>
      </c>
      <c r="M56">
        <f t="array" ref="M56">IF(G56=1, -LN(I56), -LN(1-I56))</f>
        <v>0.44872993063133798</v>
      </c>
    </row>
    <row r="57" spans="1:13" x14ac:dyDescent="0.35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-2.4556824375711828E-2</v>
      </c>
      <c r="I57">
        <f t="shared" si="2"/>
        <v>0.49386110240182296</v>
      </c>
      <c r="J57">
        <f t="shared" si="3"/>
        <v>0</v>
      </c>
      <c r="K57">
        <f t="shared" si="4"/>
        <v>0</v>
      </c>
      <c r="L57">
        <f t="shared" si="5"/>
        <v>0.5061388975981771</v>
      </c>
      <c r="M57">
        <f t="array" ref="M57">IF(G57=1, -LN(I57), -LN(1-I57))</f>
        <v>0.68094414618105958</v>
      </c>
    </row>
    <row r="58" spans="1:13" x14ac:dyDescent="0.35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0.50931548391000026</v>
      </c>
      <c r="I58">
        <f t="shared" si="2"/>
        <v>0.62464599421374778</v>
      </c>
      <c r="J58">
        <f t="shared" si="3"/>
        <v>1</v>
      </c>
      <c r="K58">
        <f t="shared" si="4"/>
        <v>0</v>
      </c>
      <c r="L58">
        <f t="shared" si="5"/>
        <v>0.62464599421374778</v>
      </c>
      <c r="M58">
        <f t="array" ref="M58">IF(G58=1, -LN(I58), -LN(1-I58))</f>
        <v>0.47057019897406033</v>
      </c>
    </row>
    <row r="59" spans="1:13" x14ac:dyDescent="0.35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0.28796136355316038</v>
      </c>
      <c r="I59">
        <f t="shared" si="2"/>
        <v>0.57149696788440696</v>
      </c>
      <c r="J59">
        <f t="shared" si="3"/>
        <v>1</v>
      </c>
      <c r="K59">
        <f t="shared" si="4"/>
        <v>0</v>
      </c>
      <c r="L59">
        <f t="shared" si="5"/>
        <v>0.57149696788440696</v>
      </c>
      <c r="M59">
        <f t="array" ref="M59">IF(G59=1, -LN(I59), -LN(1-I59))</f>
        <v>0.55949610130044158</v>
      </c>
    </row>
    <row r="60" spans="1:13" x14ac:dyDescent="0.35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1"/>
        <v>-4.0790287747879788</v>
      </c>
      <c r="I60">
        <f t="shared" si="2"/>
        <v>1.664224301987445E-2</v>
      </c>
      <c r="J60">
        <f t="shared" si="3"/>
        <v>0</v>
      </c>
      <c r="K60">
        <f t="shared" si="4"/>
        <v>0</v>
      </c>
      <c r="L60">
        <f t="shared" si="5"/>
        <v>0.98335775698012551</v>
      </c>
      <c r="M60">
        <f t="array" ref="M60">IF(G60=1, -LN(I60), -LN(1-I60))</f>
        <v>1.6782281017922188E-2</v>
      </c>
    </row>
    <row r="61" spans="1:13" x14ac:dyDescent="0.35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-0.27446347319437991</v>
      </c>
      <c r="I61">
        <f t="shared" si="2"/>
        <v>0.43181164874171957</v>
      </c>
      <c r="J61">
        <f t="shared" si="3"/>
        <v>0</v>
      </c>
      <c r="K61">
        <f t="shared" si="4"/>
        <v>0</v>
      </c>
      <c r="L61">
        <f t="shared" si="5"/>
        <v>0.56818835125828038</v>
      </c>
      <c r="M61">
        <f t="array" ref="M61">IF(G61=1, -LN(I61), -LN(1-I61))</f>
        <v>0.56530231090159089</v>
      </c>
    </row>
    <row r="62" spans="1:13" x14ac:dyDescent="0.35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0.72011043346009673</v>
      </c>
      <c r="I62">
        <f t="shared" si="2"/>
        <v>0.67263133480501192</v>
      </c>
      <c r="J62">
        <f t="shared" si="3"/>
        <v>1</v>
      </c>
      <c r="K62">
        <f t="shared" si="4"/>
        <v>0</v>
      </c>
      <c r="L62">
        <f t="shared" si="5"/>
        <v>0.67263133480501192</v>
      </c>
      <c r="M62">
        <f t="array" ref="M62">IF(G62=1, -LN(I62), -LN(1-I62))</f>
        <v>0.39655789318306234</v>
      </c>
    </row>
    <row r="63" spans="1:13" x14ac:dyDescent="0.35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1"/>
        <v>1.2473535128531403</v>
      </c>
      <c r="I63">
        <f t="shared" si="2"/>
        <v>0.77684140540126079</v>
      </c>
      <c r="J63">
        <f t="shared" si="3"/>
        <v>1</v>
      </c>
      <c r="K63">
        <f t="shared" si="4"/>
        <v>0</v>
      </c>
      <c r="L63">
        <f t="shared" si="5"/>
        <v>0.77684140540126079</v>
      </c>
      <c r="M63">
        <f t="array" ref="M63">IF(G63=1, -LN(I63), -LN(1-I63))</f>
        <v>0.25251906090075593</v>
      </c>
    </row>
    <row r="64" spans="1:13" x14ac:dyDescent="0.35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-7.7620249983597234E-2</v>
      </c>
      <c r="I64">
        <f t="shared" si="2"/>
        <v>0.48060467443967275</v>
      </c>
      <c r="J64">
        <f t="shared" si="3"/>
        <v>0</v>
      </c>
      <c r="K64">
        <f t="shared" si="4"/>
        <v>0</v>
      </c>
      <c r="L64">
        <f t="shared" si="5"/>
        <v>0.51939532556032719</v>
      </c>
      <c r="M64">
        <f t="array" ref="M64">IF(G64=1, -LN(I64), -LN(1-I64))</f>
        <v>0.65508997948530878</v>
      </c>
    </row>
    <row r="65" spans="1:13" x14ac:dyDescent="0.35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0.39745278743974038</v>
      </c>
      <c r="I65">
        <f t="shared" si="2"/>
        <v>0.59807551137314552</v>
      </c>
      <c r="J65">
        <f t="shared" si="3"/>
        <v>1</v>
      </c>
      <c r="K65">
        <f t="shared" si="4"/>
        <v>-1</v>
      </c>
      <c r="L65">
        <f t="shared" si="5"/>
        <v>0.40192448862685448</v>
      </c>
      <c r="M65">
        <f t="array" ref="M65">IF(G65=1, -LN(I65), -LN(1-I65))</f>
        <v>0.91149104724379537</v>
      </c>
    </row>
    <row r="66" spans="1:13" x14ac:dyDescent="0.35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1"/>
        <v>0.52190811738274856</v>
      </c>
      <c r="I66">
        <f t="shared" si="2"/>
        <v>0.62759383961679915</v>
      </c>
      <c r="J66">
        <f t="shared" si="3"/>
        <v>1</v>
      </c>
      <c r="K66">
        <f t="shared" si="4"/>
        <v>0</v>
      </c>
      <c r="L66">
        <f t="shared" si="5"/>
        <v>0.62759383961679915</v>
      </c>
      <c r="M66">
        <f t="array" ref="M66">IF(G66=1, -LN(I66), -LN(1-I66))</f>
        <v>0.46586207395091334</v>
      </c>
    </row>
    <row r="67" spans="1:13" x14ac:dyDescent="0.35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2.3042416722755461</v>
      </c>
      <c r="I67">
        <f t="shared" si="2"/>
        <v>0.90922772372014293</v>
      </c>
      <c r="J67">
        <f t="shared" si="3"/>
        <v>1</v>
      </c>
      <c r="K67">
        <f t="shared" si="4"/>
        <v>0</v>
      </c>
      <c r="L67">
        <f t="shared" si="5"/>
        <v>0.90922772372014293</v>
      </c>
      <c r="M67">
        <f t="array" ref="M67">IF(G67=1, -LN(I67), -LN(1-I67))</f>
        <v>9.515969503556844E-2</v>
      </c>
    </row>
    <row r="68" spans="1:13" x14ac:dyDescent="0.35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1.7329941042898742</v>
      </c>
      <c r="I68">
        <f t="shared" si="2"/>
        <v>0.84979499847949336</v>
      </c>
      <c r="J68">
        <f t="shared" si="3"/>
        <v>1</v>
      </c>
      <c r="K68">
        <f t="shared" si="4"/>
        <v>0</v>
      </c>
      <c r="L68">
        <f t="shared" si="5"/>
        <v>0.84979499847949336</v>
      </c>
      <c r="M68">
        <f t="array" ref="M68">IF(G68=1, -LN(I68), -LN(1-I68))</f>
        <v>0.16276013684534796</v>
      </c>
    </row>
    <row r="69" spans="1:13" x14ac:dyDescent="0.35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1.3482544257007107</v>
      </c>
      <c r="I69">
        <f t="shared" si="2"/>
        <v>0.79384410163977215</v>
      </c>
      <c r="J69">
        <f t="shared" si="3"/>
        <v>1</v>
      </c>
      <c r="K69">
        <f t="shared" si="4"/>
        <v>-1</v>
      </c>
      <c r="L69">
        <f t="shared" si="5"/>
        <v>0.20615589836022785</v>
      </c>
      <c r="M69">
        <f t="array" ref="M69">IF(G69=1, -LN(I69), -LN(1-I69))</f>
        <v>1.5791226082558709</v>
      </c>
    </row>
    <row r="70" spans="1:13" x14ac:dyDescent="0.35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-1.6644846605436454</v>
      </c>
      <c r="I70">
        <f t="shared" si="2"/>
        <v>0.15916090281551032</v>
      </c>
      <c r="J70">
        <f t="shared" si="3"/>
        <v>0</v>
      </c>
      <c r="K70">
        <f t="shared" si="4"/>
        <v>0</v>
      </c>
      <c r="L70">
        <f t="shared" si="5"/>
        <v>0.84083909718448968</v>
      </c>
      <c r="M70">
        <f t="array" ref="M70">IF(G70=1, -LN(I70), -LN(1-I70))</f>
        <v>0.1733549605189334</v>
      </c>
    </row>
    <row r="71" spans="1:13" x14ac:dyDescent="0.35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6">$G$4+$B$4*B71+$C$4*C71+$D$4*D71+$E$4*E71+$F$4*F71</f>
        <v>-19.833499359793546</v>
      </c>
      <c r="I71">
        <f t="shared" ref="I71:I92" si="7">1/(1+EXP(-H71))</f>
        <v>2.4345610533456733E-9</v>
      </c>
      <c r="J71">
        <f t="shared" ref="J71:J92" si="8">IF(I71&gt;=0.5,1,0)</f>
        <v>0</v>
      </c>
      <c r="K71">
        <f t="shared" ref="K71:K92" si="9">G71 - J71</f>
        <v>0</v>
      </c>
      <c r="L71">
        <f t="shared" ref="L71:L92" si="10">IF(G71=1,I71,1-I71)</f>
        <v>0.99999999756543889</v>
      </c>
      <c r="M71">
        <f t="array" ref="M71">IF(G71=1, -LN(I71), -LN(1-I71))</f>
        <v>2.4345611112301078E-9</v>
      </c>
    </row>
    <row r="72" spans="1:13" x14ac:dyDescent="0.35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6"/>
        <v>2.3753039497415749</v>
      </c>
      <c r="I72">
        <f t="shared" si="7"/>
        <v>0.91492461668391833</v>
      </c>
      <c r="J72">
        <f t="shared" si="8"/>
        <v>1</v>
      </c>
      <c r="K72">
        <f t="shared" si="9"/>
        <v>0</v>
      </c>
      <c r="L72">
        <f t="shared" si="10"/>
        <v>0.91492461668391833</v>
      </c>
      <c r="M72">
        <f t="array" ref="M72">IF(G72=1, -LN(I72), -LN(1-I72))</f>
        <v>8.8913603238334166E-2</v>
      </c>
    </row>
    <row r="73" spans="1:13" x14ac:dyDescent="0.35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6"/>
        <v>-53.328082025141633</v>
      </c>
      <c r="I73">
        <f t="shared" si="7"/>
        <v>6.9168482226052817E-24</v>
      </c>
      <c r="J73">
        <f t="shared" si="8"/>
        <v>0</v>
      </c>
      <c r="K73">
        <f t="shared" si="9"/>
        <v>0</v>
      </c>
      <c r="L73">
        <f t="shared" si="10"/>
        <v>1</v>
      </c>
      <c r="M73">
        <f t="array" ref="M73">IF(G73=1, -LN(I73), -LN(1-I73))</f>
        <v>0</v>
      </c>
    </row>
    <row r="74" spans="1:13" x14ac:dyDescent="0.35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6"/>
        <v>-0.52794643053174717</v>
      </c>
      <c r="I74">
        <f t="shared" si="7"/>
        <v>0.37099597773083526</v>
      </c>
      <c r="J74">
        <f t="shared" si="8"/>
        <v>0</v>
      </c>
      <c r="K74">
        <f t="shared" si="9"/>
        <v>0</v>
      </c>
      <c r="L74">
        <f t="shared" si="10"/>
        <v>0.62900402226916474</v>
      </c>
      <c r="M74">
        <f t="array" ref="M74">IF(G74=1, -LN(I74), -LN(1-I74))</f>
        <v>0.46361762759758812</v>
      </c>
    </row>
    <row r="75" spans="1:13" x14ac:dyDescent="0.35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6"/>
        <v>-6.7022061385864795</v>
      </c>
      <c r="I75">
        <f t="shared" si="7"/>
        <v>1.2266927105105028E-3</v>
      </c>
      <c r="J75">
        <f t="shared" si="8"/>
        <v>0</v>
      </c>
      <c r="K75">
        <f t="shared" si="9"/>
        <v>0</v>
      </c>
      <c r="L75">
        <f t="shared" si="10"/>
        <v>0.99877330728948954</v>
      </c>
      <c r="M75">
        <f t="array" ref="M75">IF(G75=1, -LN(I75), -LN(1-I75))</f>
        <v>1.227445713878954E-3</v>
      </c>
    </row>
    <row r="76" spans="1:13" x14ac:dyDescent="0.35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6"/>
        <v>0.16518746309626259</v>
      </c>
      <c r="I76">
        <f t="shared" si="7"/>
        <v>0.54120321602665911</v>
      </c>
      <c r="J76">
        <f t="shared" si="8"/>
        <v>1</v>
      </c>
      <c r="K76">
        <f t="shared" si="9"/>
        <v>-1</v>
      </c>
      <c r="L76">
        <f t="shared" si="10"/>
        <v>0.45879678397334089</v>
      </c>
      <c r="M76">
        <f t="array" ref="M76">IF(G76=1, -LN(I76), -LN(1-I76))</f>
        <v>0.77914790339983064</v>
      </c>
    </row>
    <row r="77" spans="1:13" x14ac:dyDescent="0.35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6"/>
        <v>2.2963839409766127</v>
      </c>
      <c r="I77">
        <f t="shared" si="7"/>
        <v>0.90857711542539454</v>
      </c>
      <c r="J77">
        <f t="shared" si="8"/>
        <v>1</v>
      </c>
      <c r="K77">
        <f t="shared" si="9"/>
        <v>0</v>
      </c>
      <c r="L77">
        <f t="shared" si="10"/>
        <v>0.90857711542539454</v>
      </c>
      <c r="M77">
        <f t="array" ref="M77">IF(G77=1, -LN(I77), -LN(1-I77))</f>
        <v>9.5875512606870425E-2</v>
      </c>
    </row>
    <row r="78" spans="1:13" x14ac:dyDescent="0.35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6"/>
        <v>0.81526441402139072</v>
      </c>
      <c r="I78">
        <f t="shared" si="7"/>
        <v>0.69323018303885531</v>
      </c>
      <c r="J78">
        <f t="shared" si="8"/>
        <v>1</v>
      </c>
      <c r="K78">
        <f t="shared" si="9"/>
        <v>0</v>
      </c>
      <c r="L78">
        <f t="shared" si="10"/>
        <v>0.69323018303885531</v>
      </c>
      <c r="M78">
        <f t="array" ref="M78">IF(G78=1, -LN(I78), -LN(1-I78))</f>
        <v>0.36639318048609076</v>
      </c>
    </row>
    <row r="79" spans="1:13" x14ac:dyDescent="0.35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6"/>
        <v>4.6324515936288724E-2</v>
      </c>
      <c r="I79">
        <f t="shared" si="7"/>
        <v>0.5115790583743699</v>
      </c>
      <c r="J79">
        <f t="shared" si="8"/>
        <v>1</v>
      </c>
      <c r="K79">
        <f t="shared" si="9"/>
        <v>0</v>
      </c>
      <c r="L79">
        <f t="shared" si="10"/>
        <v>0.5115790583743699</v>
      </c>
      <c r="M79">
        <f t="array" ref="M79">IF(G79=1, -LN(I79), -LN(1-I79))</f>
        <v>0.67025314370717926</v>
      </c>
    </row>
    <row r="80" spans="1:13" x14ac:dyDescent="0.35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6"/>
        <v>-7.4529788670040471</v>
      </c>
      <c r="I80">
        <f t="shared" si="7"/>
        <v>5.7937628068443559E-4</v>
      </c>
      <c r="J80">
        <f t="shared" si="8"/>
        <v>0</v>
      </c>
      <c r="K80">
        <f t="shared" si="9"/>
        <v>0</v>
      </c>
      <c r="L80">
        <f t="shared" si="10"/>
        <v>0.99942062371931562</v>
      </c>
      <c r="M80">
        <f t="array" ref="M80">IF(G80=1, -LN(I80), -LN(1-I80))</f>
        <v>5.795441839776173E-4</v>
      </c>
    </row>
    <row r="81" spans="1:13" x14ac:dyDescent="0.35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6"/>
        <v>-3.2141692636704335</v>
      </c>
      <c r="I81">
        <f t="shared" si="7"/>
        <v>3.8635976279546833E-2</v>
      </c>
      <c r="J81">
        <f t="shared" si="8"/>
        <v>0</v>
      </c>
      <c r="K81">
        <f t="shared" si="9"/>
        <v>0</v>
      </c>
      <c r="L81">
        <f t="shared" si="10"/>
        <v>0.96136402372045315</v>
      </c>
      <c r="M81">
        <f t="array" ref="M81">IF(G81=1, -LN(I81), -LN(1-I81))</f>
        <v>3.940214494176162E-2</v>
      </c>
    </row>
    <row r="82" spans="1:13" x14ac:dyDescent="0.35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6"/>
        <v>-4.398656483985028</v>
      </c>
      <c r="I82">
        <f t="shared" si="7"/>
        <v>1.2144542656701561E-2</v>
      </c>
      <c r="J82">
        <f t="shared" si="8"/>
        <v>0</v>
      </c>
      <c r="K82">
        <f t="shared" si="9"/>
        <v>0</v>
      </c>
      <c r="L82">
        <f t="shared" si="10"/>
        <v>0.98785545734329849</v>
      </c>
      <c r="M82">
        <f t="array" ref="M82">IF(G82=1, -LN(I82), -LN(1-I82))</f>
        <v>1.2218890172427801E-2</v>
      </c>
    </row>
    <row r="83" spans="1:13" x14ac:dyDescent="0.35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6"/>
        <v>-12.105247465972031</v>
      </c>
      <c r="I83">
        <f t="shared" si="7"/>
        <v>5.5303857091458872E-6</v>
      </c>
      <c r="J83">
        <f t="shared" si="8"/>
        <v>0</v>
      </c>
      <c r="K83">
        <f t="shared" si="9"/>
        <v>0</v>
      </c>
      <c r="L83">
        <f t="shared" si="10"/>
        <v>0.99999446961429084</v>
      </c>
      <c r="M83">
        <f t="array" ref="M83">IF(G83=1, -LN(I83), -LN(1-I83))</f>
        <v>5.5304010018020726E-6</v>
      </c>
    </row>
    <row r="84" spans="1:13" x14ac:dyDescent="0.35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6"/>
        <v>-5.7237932441458774</v>
      </c>
      <c r="I84">
        <f t="shared" si="7"/>
        <v>3.25665328092184E-3</v>
      </c>
      <c r="J84">
        <f t="shared" si="8"/>
        <v>0</v>
      </c>
      <c r="K84">
        <f t="shared" si="9"/>
        <v>0</v>
      </c>
      <c r="L84">
        <f t="shared" si="10"/>
        <v>0.99674334671907816</v>
      </c>
      <c r="M84">
        <f t="array" ref="M84">IF(G84=1, -LN(I84), -LN(1-I84))</f>
        <v>3.2619677175396468E-3</v>
      </c>
    </row>
    <row r="85" spans="1:13" x14ac:dyDescent="0.35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6"/>
        <v>0.12191716488381643</v>
      </c>
      <c r="I85">
        <f t="shared" si="7"/>
        <v>0.53044159409059677</v>
      </c>
      <c r="J85">
        <f t="shared" si="8"/>
        <v>1</v>
      </c>
      <c r="K85">
        <f t="shared" si="9"/>
        <v>-1</v>
      </c>
      <c r="L85">
        <f t="shared" si="10"/>
        <v>0.46955840590940323</v>
      </c>
      <c r="M85">
        <f t="array" ref="M85">IF(G85=1, -LN(I85), -LN(1-I85))</f>
        <v>0.75596258783786607</v>
      </c>
    </row>
    <row r="86" spans="1:13" x14ac:dyDescent="0.35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6"/>
        <v>0.28097569846794468</v>
      </c>
      <c r="I86">
        <f t="shared" si="7"/>
        <v>0.56978541316818432</v>
      </c>
      <c r="J86">
        <f t="shared" si="8"/>
        <v>1</v>
      </c>
      <c r="K86">
        <f t="shared" si="9"/>
        <v>-1</v>
      </c>
      <c r="L86">
        <f t="shared" si="10"/>
        <v>0.43021458683181568</v>
      </c>
      <c r="M86">
        <f t="array" ref="M86">IF(G86=1, -LN(I86), -LN(1-I86))</f>
        <v>0.84347115562939368</v>
      </c>
    </row>
    <row r="87" spans="1:13" x14ac:dyDescent="0.35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6"/>
        <v>-3.936436262419635</v>
      </c>
      <c r="I87">
        <f t="shared" si="7"/>
        <v>1.914400087830425E-2</v>
      </c>
      <c r="J87">
        <f t="shared" si="8"/>
        <v>0</v>
      </c>
      <c r="K87">
        <f t="shared" si="9"/>
        <v>1</v>
      </c>
      <c r="L87">
        <f t="shared" si="10"/>
        <v>1.914400087830425E-2</v>
      </c>
      <c r="M87">
        <f t="array" ref="M87">IF(G87=1, -LN(I87), -LN(1-I87))</f>
        <v>3.9557658824972397</v>
      </c>
    </row>
    <row r="88" spans="1:13" x14ac:dyDescent="0.35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6"/>
        <v>-0.66328473441547753</v>
      </c>
      <c r="I88">
        <f t="shared" si="7"/>
        <v>0.34000212798725887</v>
      </c>
      <c r="J88">
        <f t="shared" si="8"/>
        <v>0</v>
      </c>
      <c r="K88">
        <f t="shared" si="9"/>
        <v>1</v>
      </c>
      <c r="L88">
        <f t="shared" si="10"/>
        <v>0.34000212798725887</v>
      </c>
      <c r="M88">
        <f t="array" ref="M88">IF(G88=1, -LN(I88), -LN(1-I88))</f>
        <v>1.0788034026054605</v>
      </c>
    </row>
    <row r="89" spans="1:13" x14ac:dyDescent="0.35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6"/>
        <v>1.7267191140573481</v>
      </c>
      <c r="I89">
        <f t="shared" si="7"/>
        <v>0.84899227771460928</v>
      </c>
      <c r="J89">
        <f t="shared" si="8"/>
        <v>1</v>
      </c>
      <c r="K89">
        <f t="shared" si="9"/>
        <v>0</v>
      </c>
      <c r="L89">
        <f t="shared" si="10"/>
        <v>0.84899227771460928</v>
      </c>
      <c r="M89">
        <f t="array" ref="M89">IF(G89=1, -LN(I89), -LN(1-I89))</f>
        <v>0.16370518845466595</v>
      </c>
    </row>
    <row r="90" spans="1:13" x14ac:dyDescent="0.35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6"/>
        <v>-24.787695487189236</v>
      </c>
      <c r="I90">
        <f t="shared" si="7"/>
        <v>1.7172780972153453E-11</v>
      </c>
      <c r="J90">
        <f t="shared" si="8"/>
        <v>0</v>
      </c>
      <c r="K90">
        <f t="shared" si="9"/>
        <v>0</v>
      </c>
      <c r="L90">
        <f t="shared" si="10"/>
        <v>0.99999999998282718</v>
      </c>
      <c r="M90">
        <f t="array" ref="M90">IF(G90=1, -LN(I90), -LN(1-I90))</f>
        <v>1.717281872274691E-11</v>
      </c>
    </row>
    <row r="91" spans="1:13" x14ac:dyDescent="0.35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6"/>
        <v>-3.2932812122484973</v>
      </c>
      <c r="I91">
        <f t="shared" si="7"/>
        <v>3.5802403809140119E-2</v>
      </c>
      <c r="J91">
        <f t="shared" si="8"/>
        <v>0</v>
      </c>
      <c r="K91">
        <f t="shared" si="9"/>
        <v>0</v>
      </c>
      <c r="L91">
        <f t="shared" si="10"/>
        <v>0.96419759619085987</v>
      </c>
      <c r="M91">
        <f t="array" ref="M91">IF(G91=1, -LN(I91), -LN(1-I91))</f>
        <v>3.6459030074436509E-2</v>
      </c>
    </row>
    <row r="92" spans="1:13" x14ac:dyDescent="0.35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6"/>
        <v>-2.5229622345569314</v>
      </c>
      <c r="I92">
        <f t="shared" si="7"/>
        <v>7.4264037822293724E-2</v>
      </c>
      <c r="J92">
        <f t="shared" si="8"/>
        <v>0</v>
      </c>
      <c r="K92">
        <f t="shared" si="9"/>
        <v>0</v>
      </c>
      <c r="L92">
        <f t="shared" si="10"/>
        <v>0.92573596217770626</v>
      </c>
      <c r="M92">
        <f t="array" ref="M92">IF(G92=1, -LN(I92), -LN(1-I92))</f>
        <v>7.7166223032571271E-2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2024-11-15T12:55:02Z</dcterms:modified>
</cp:coreProperties>
</file>