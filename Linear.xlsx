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filterPrivacy="1"/>
  <xr:revisionPtr revIDLastSave="0" documentId="13_ncr:1_{5BCB8B99-4FA6-4DE1-A517-98F2F0B5CCCC}" xr6:coauthVersionLast="47" xr6:coauthVersionMax="47" xr10:uidLastSave="{00000000-0000-0000-0000-000000000000}"/>
  <bookViews>
    <workbookView xWindow="720" yWindow="720" windowWidth="14400" windowHeight="8170" xr2:uid="{00000000-000D-0000-FFFF-FFFF00000000}"/>
  </bookViews>
  <sheets>
    <sheet name="temp-sale" sheetId="1" r:id="rId1"/>
    <sheet name="usingLinest" sheetId="7" r:id="rId2"/>
    <sheet name="UsingDataAnalysisTool"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1" l="1"/>
  <c r="H26" i="1" a="1"/>
  <c r="H26" i="1" s="1"/>
  <c r="G11" i="1" l="1" a="1"/>
  <c r="G11" i="1" s="1"/>
  <c r="H21" i="1" a="1"/>
  <c r="H21" i="1" s="1"/>
  <c r="H16" i="1" a="1"/>
  <c r="H16" i="1" s="1"/>
  <c r="H11" i="1" a="1"/>
  <c r="H11" i="1" s="1"/>
  <c r="F6" i="1"/>
  <c r="F5" i="1"/>
  <c r="F4" i="1"/>
  <c r="F3" i="1"/>
  <c r="I5" i="7"/>
  <c r="I4" i="7"/>
  <c r="I3" i="7"/>
  <c r="I2" i="7"/>
  <c r="C11" i="7"/>
  <c r="C14" i="7" l="1"/>
  <c r="C13" i="7"/>
  <c r="C12" i="7"/>
  <c r="E2" i="6"/>
  <c r="D17" i="6"/>
  <c r="E3" i="6"/>
  <c r="E4" i="6"/>
  <c r="E5" i="6"/>
  <c r="E6" i="6"/>
  <c r="E7" i="6"/>
  <c r="E8" i="6"/>
  <c r="E9" i="6"/>
  <c r="E3" i="7" l="1"/>
  <c r="F3" i="7" s="1"/>
  <c r="E5" i="7"/>
  <c r="F5" i="7" s="1"/>
  <c r="E6" i="7"/>
  <c r="F6" i="7" s="1"/>
  <c r="E8" i="7"/>
  <c r="F8" i="7" s="1"/>
  <c r="E4" i="7"/>
  <c r="F4" i="7" s="1"/>
  <c r="E7" i="7"/>
  <c r="F7" i="7" s="1"/>
  <c r="E9" i="7"/>
  <c r="F9" i="7" s="1"/>
  <c r="E2" i="7"/>
  <c r="F2" i="7" s="1"/>
  <c r="E11"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<sst xmlns="http://schemas.openxmlformats.org/spreadsheetml/2006/main" count="69" uniqueCount="48">
  <si>
    <t>Temperature (F)</t>
  </si>
  <si>
    <t>Ice Cream Sale (dollar in thousand)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</si>
  <si>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</si>
  <si>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</si>
  <si>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</si>
  <si>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</si>
  <si>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</si>
  <si>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</si>
  <si>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</si>
  <si>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</si>
  <si>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</si>
  <si>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</si>
  <si>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</si>
  <si>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</si>
  <si>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</si>
  <si>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</si>
  <si>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</si>
  <si>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</si>
  <si>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</si>
  <si>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</si>
  <si>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</si>
  <si>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</si>
  <si>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</si>
  <si>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</si>
  <si>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</si>
  <si>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</si>
  <si>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</si>
  <si>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Tourists</t>
  </si>
  <si>
    <t>Sunny Days</t>
  </si>
  <si>
    <t>X Variable 2</t>
  </si>
  <si>
    <t>X Variable 3</t>
  </si>
  <si>
    <t>Prediction</t>
  </si>
  <si>
    <t>Validation</t>
  </si>
  <si>
    <t>Predicted Sales</t>
  </si>
  <si>
    <t>Temperature</t>
  </si>
  <si>
    <t>Y-intercept</t>
  </si>
  <si>
    <t xml:space="preserve">Temperature </t>
  </si>
  <si>
    <t>Error</t>
  </si>
  <si>
    <t>Sum of Errors</t>
  </si>
  <si>
    <t>Predicted</t>
  </si>
  <si>
    <t>Sunny</t>
  </si>
  <si>
    <t>AVERAGE</t>
  </si>
  <si>
    <t>Tourits</t>
  </si>
  <si>
    <t>Y=Sale</t>
  </si>
  <si>
    <t>Average</t>
  </si>
  <si>
    <t xml:space="preserve">Temperature (F): </t>
  </si>
  <si>
    <t>Hệ số chặn</t>
  </si>
  <si>
    <t>y_pred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</si>
</sst>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Calibri"/>
      <family val="2"/>
      <scheme val="minor"/>
    </font>
    <font>
      <i/>
      <sz val="11"/>
      <color theme="1"/>
      <name val="Calibri"/>
      <family val="2"/>
      <scheme val="minor"/>
    </font>
  </fonts>
  <fills count="2">
    <fill>
      <patternFill patternType="none"/>
    </fill>
    <fill>
      <patternFill patternType="gray125"/>
    </fill>
  </fills>
  <borders count="6">
    <border>
      <left/>
      <right/>
      <top/>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15">
    <xf numFmtId="0" fontId="0" fillId="0" borderId="0" xfId="0"/>
    <xf numFmtId="0" fontId="1" fillId="0" borderId="0" xfId="0" applyFont="1"/>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0" fontId="0" fillId="0" borderId="3" xfId="0" applyBorder="1"/>
    <xf numFmtId="0" fontId="1" fillId="0" borderId="3" xfId="0" applyFont="1" applyBorder="1" applyAlignment="1">
      <alignment wrapText="1"/>
    </xf>
    <xf numFmtId="0" fontId="1" fillId="0" borderId="3" xfId="0" applyFont="1" applyBorder="1"/>
    <xf numFmtId="0" fontId="1" fillId="0" borderId="1" xfId="0" applyFont="1" applyBorder="1"/>
    <xf numFmtId="2" fontId="1" fillId="0" borderId="0" xfId="0" applyNumberFormat="1" applyFont="1"/>
    <xf numFmtId="0" fontId="1" fillId="0" borderId="4" xfId="0" applyFont="1" applyBorder="1" applyAlignment="1">
      <alignment wrapText="1"/>
    </xf>
    <xf numFmtId="0" fontId="1" fillId="0" borderId="0" xfId="0" applyFont="1" applyAlignment="1">
      <alignment wrapText="1"/>
    </xf>
    <xf numFmtId="0" fontId="0" fillId="0" borderId="5" xfId="0" applyBorder="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1">
    <dxf>
      <fill>
        <patternFill patternType="none">
          <fgColor indexed="64"/>
          <bgColor indexed="65"/>
        </patternFill>
      </fill>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Ice Cream Sale (dollar in thousand) </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'temp-sale'!$A$2:$A$9</c:f>
              <c:numCache>
                <c:formatCode>General</c:formatCode>
                <c:ptCount val="8"/>
                <c:pt idx="0">
                  <c:v>91</c:v>
                </c:pt>
                <c:pt idx="1">
                  <c:v>87</c:v>
                </c:pt>
                <c:pt idx="2">
                  <c:v>86</c:v>
                </c:pt>
                <c:pt idx="3">
                  <c:v>88</c:v>
                </c:pt>
                <c:pt idx="4">
                  <c:v>92.8</c:v>
                </c:pt>
                <c:pt idx="5">
                  <c:v>95.2</c:v>
                </c:pt>
                <c:pt idx="6">
                  <c:v>93.3</c:v>
                </c:pt>
                <c:pt idx="7">
                  <c:v>97.7</c:v>
                </c:pt>
              </c:numCache>
            </c:numRef>
          </c:xVal>
          <c:yVal>
            <c:numRef>
              <c:f>'temp-sale'!$D$2:$D$9</c:f>
              <c:numCache>
                <c:formatCode>General</c:formatCode>
                <c:ptCount val="8"/>
                <c:pt idx="0">
                  <c:v>89.8</c:v>
                </c:pt>
                <c:pt idx="1">
                  <c:v>90.2</c:v>
                </c:pt>
                <c:pt idx="2">
                  <c:v>81.099999999999994</c:v>
                </c:pt>
                <c:pt idx="3">
                  <c:v>83</c:v>
                </c:pt>
                <c:pt idx="4">
                  <c:v>90.9</c:v>
                </c:pt>
                <c:pt idx="5">
                  <c:v>119</c:v>
                </c:pt>
                <c:pt idx="6">
                  <c:v>94.9</c:v>
                </c:pt>
                <c:pt idx="7">
                  <c:v>132.4</c:v>
                </c:pt>
              </c:numCache>
            </c:numRef>
          </c:yVal>
          <c:smooth val="0"/>
          <c:extLst>
            <c:ext xmlns:c16="http://schemas.microsoft.com/office/drawing/2014/chart" uri="{C3380CC4-5D6E-409C-BE32-E72D297353CC}">
              <c16:uniqueId val="{00000003-E075-44DF-BF04-8EFB51E64F9C}"/>
            </c:ext>
          </c:extLst>
        </c:ser>
        <c:dLbls>
          <c:showLegendKey val="0"/>
          <c:showVal val="0"/>
          <c:showCatName val="0"/>
          <c:showSerName val="0"/>
          <c:showPercent val="0"/>
          <c:showBubbleSize val="0"/>
        </c:dLbls>
        <c:axId val="1377142191"/>
        <c:axId val="1377142671"/>
      </c:scatterChart>
      <c:valAx>
        <c:axId val="1377142191"/>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Temperature (F)</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7142671"/>
        <c:crosses val="autoZero"/>
        <c:crossBetween val="midCat"/>
      </c:valAx>
      <c:valAx>
        <c:axId val="1377142671"/>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71421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v>Ice Cream Sale (dollar in thousand)</c:v>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trendline>
            <c:spPr>
              <a:ln w="25400" cap="rnd">
                <a:solidFill>
                  <a:schemeClr val="accent1">
                    <a:alpha val="50000"/>
                  </a:schemeClr>
                </a:solidFill>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'temp-sale'!$B$2:$B$9</c:f>
              <c:numCache>
                <c:formatCode>General</c:formatCode>
                <c:ptCount val="8"/>
                <c:pt idx="0">
                  <c:v>998</c:v>
                </c:pt>
                <c:pt idx="1">
                  <c:v>1256</c:v>
                </c:pt>
                <c:pt idx="2">
                  <c:v>791</c:v>
                </c:pt>
                <c:pt idx="3">
                  <c:v>705</c:v>
                </c:pt>
                <c:pt idx="4">
                  <c:v>1089</c:v>
                </c:pt>
                <c:pt idx="5">
                  <c:v>1135</c:v>
                </c:pt>
                <c:pt idx="6">
                  <c:v>1076</c:v>
                </c:pt>
                <c:pt idx="7">
                  <c:v>1198</c:v>
                </c:pt>
              </c:numCache>
            </c:numRef>
          </c:xVal>
          <c:yVal>
            <c:numRef>
              <c:f>'temp-sale'!$D$2:$D$9</c:f>
              <c:numCache>
                <c:formatCode>General</c:formatCode>
                <c:ptCount val="8"/>
                <c:pt idx="0">
                  <c:v>89.8</c:v>
                </c:pt>
                <c:pt idx="1">
                  <c:v>90.2</c:v>
                </c:pt>
                <c:pt idx="2">
                  <c:v>81.099999999999994</c:v>
                </c:pt>
                <c:pt idx="3">
                  <c:v>83</c:v>
                </c:pt>
                <c:pt idx="4">
                  <c:v>90.9</c:v>
                </c:pt>
                <c:pt idx="5">
                  <c:v>119</c:v>
                </c:pt>
                <c:pt idx="6">
                  <c:v>94.9</c:v>
                </c:pt>
                <c:pt idx="7">
                  <c:v>132.4</c:v>
                </c:pt>
              </c:numCache>
            </c:numRef>
          </c:yVal>
          <c:smooth val="0"/>
          <c:extLst>
            <c:ext xmlns:c16="http://schemas.microsoft.com/office/drawing/2014/chart" uri="{C3380CC4-5D6E-409C-BE32-E72D297353CC}">
              <c16:uniqueId val="{00000002-862D-4BF5-9D52-BF54EF798CEE}"/>
            </c:ext>
          </c:extLst>
        </c:ser>
        <c:dLbls>
          <c:showLegendKey val="0"/>
          <c:showVal val="0"/>
          <c:showCatName val="0"/>
          <c:showSerName val="0"/>
          <c:showPercent val="0"/>
          <c:showBubbleSize val="0"/>
        </c:dLbls>
        <c:axId val="1511590239"/>
        <c:axId val="1511597919"/>
      </c:scatterChart>
      <c:valAx>
        <c:axId val="1511590239"/>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Tourists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1597919"/>
        <c:crosses val="autoZero"/>
        <c:crossBetween val="midCat"/>
      </c:valAx>
      <c:valAx>
        <c:axId val="1511597919"/>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159023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19050</xdr:rowOff>
    </xdr:from>
    <xdr:to>
      <xdr:col>4</xdr:col>
      <xdr:colOff>2124075</xdr:colOff>
      <xdr:row>22</xdr:row>
      <xdr:rowOff>114300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3067050"/>
          <a:ext cx="73628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Tom, the manager of a supermarket discovered a relationship between the weekly averaged daily high temperatures and the ice cream sale during summer seasons. But his prediction is not good enough initially. After some studies, he collected additional information such as the number of tourists (obtained from hotels) and  number of sunny days in a week.</a:t>
          </a:r>
          <a:endParaRPr lang="en-US" sz="1100"/>
        </a:p>
      </xdr:txBody>
    </xdr:sp>
    <xdr:clientData/>
  </xdr:twoCellAnchor>
  <xdr:twoCellAnchor>
    <xdr:from>
      <xdr:col>0</xdr:col>
      <xdr:colOff>219075</xdr:colOff>
      <xdr:row>9</xdr:row>
      <xdr:rowOff>158750</xdr:rowOff>
    </xdr:from>
    <xdr:to>
      <xdr:col>3</xdr:col>
      <xdr:colOff>1571625</xdr:colOff>
      <xdr:row>24</xdr:row>
      <xdr:rowOff>139700</xdr:rowOff>
    </xdr:to>
    <xdr:graphicFrame macro="">
      <xdr:nvGraphicFramePr>
        <xdr:cNvPr id="5" name="Chart 4">
          <a:extLst>
            <a:ext uri="{FF2B5EF4-FFF2-40B4-BE49-F238E27FC236}">
              <a16:creationId xmlns:a16="http://schemas.microsoft.com/office/drawing/2014/main" id="{756A1405-6051-51AF-A3A6-61ABAAFC6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206375</xdr:colOff>
      <xdr:row>15</xdr:row>
      <xdr:rowOff>6350</xdr:rowOff>
    </xdr:from>
    <xdr:to>
      <xdr:col>16</xdr:col>
      <xdr:colOff>263525</xdr:colOff>
      <xdr:row>29</xdr:row>
      <xdr:rowOff>171450</xdr:rowOff>
    </xdr:to>
    <xdr:graphicFrame macro="">
      <xdr:nvGraphicFramePr>
        <xdr:cNvPr id="6" name="Chart 5">
          <a:extLst>
            <a:ext uri="{FF2B5EF4-FFF2-40B4-BE49-F238E27FC236}">
              <a16:creationId xmlns:a16="http://schemas.microsoft.com/office/drawing/2014/main" id="{6F8D3C7D-3AD9-5E7C-D43A-47A58E160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644572-F029-40F2-B5F6-A062BA9DE6C6}" name="Table6" displayName="Table6" ref="E2:F10" headerRowCount="0" totalsRowShown="0">
  <tableColumns count="2">
    <tableColumn id="1" xr3:uid="{4D19CF72-BB55-491B-B6BF-517C0E464AED}" name="Column1" headerRowDxfId="0"/>
    <tableColumn id="2" xr3:uid="{E3A0557B-4520-4734-B8D9-0A1028B56277}" name="Column2"/>
  </tableColumns>
  <tableStyleInfo name="TableStyleMedium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
  <sheetViews>
    <sheetView tabSelected="1" workbookViewId="0">
      <selection activeCell="D1" sqref="D1"/>
    </sheetView>
  </sheetViews>
  <sheetFormatPr defaultRowHeight="14.5" x14ac:dyDescent="0.35"/>
  <cols>
    <col min="1" max="1" width="15.54296875" customWidth="1"/>
    <col min="2" max="2" width="15.81640625" customWidth="1"/>
    <col min="3" max="3" width="14.7265625" customWidth="1"/>
    <col min="4" max="4" width="32.453125" bestFit="1" customWidth="1"/>
    <col min="5" max="5" width="32.453125" customWidth="1"/>
    <col min="6" max="6" width="10.26953125" customWidth="1"/>
    <col min="7" max="7" width="12.6328125" customWidth="1"/>
    <col min="8" max="8" width="10.26953125" customWidth="1"/>
    <col min="9" max="9" width="11.81640625" customWidth="1"/>
    <col min="10" max="10" width="10.26953125" customWidth="1"/>
    <col min="11" max="11" width="10.08984375" customWidth="1"/>
    <col min="12" max="12" width="29.7265625" customWidth="1"/>
  </cols>
  <sheetData>
    <row r="1" spans="1:15" x14ac:dyDescent="0.35">
      <c r="A1" s="5" t="s">
        <v>0</v>
      </c>
      <c r="B1" s="5" t="s">
        <v>27</v>
      </c>
      <c r="C1" s="5" t="s">
        <v>28</v>
      </c>
      <c r="D1" s="5" t="s">
        <v>1</v>
      </c>
      <c r="H1">
        <v>1</v>
      </c>
      <c r="I1" s="5" t="s">
        <v>0</v>
      </c>
      <c r="J1" s="5" t="s">
        <v>27</v>
      </c>
      <c r="K1" s="5" t="s">
        <v>28</v>
      </c>
      <c r="L1" s="5" t="s">
        <v>1</v>
      </c>
    </row>
    <row r="2" spans="1:15" x14ac:dyDescent="0.35">
      <c r="A2" s="5">
        <v>91</v>
      </c>
      <c r="B2" s="5">
        <v>998</v>
      </c>
      <c r="C2" s="5">
        <v>4</v>
      </c>
      <c r="D2" s="5">
        <v>89.8</v>
      </c>
      <c r="E2" s="12" t="s">
        <v>44</v>
      </c>
      <c r="H2">
        <v>1</v>
      </c>
      <c r="I2" s="5">
        <v>91</v>
      </c>
      <c r="J2" s="5">
        <v>998</v>
      </c>
      <c r="K2" s="5">
        <v>4</v>
      </c>
      <c r="L2" s="5">
        <v>89.8</v>
      </c>
    </row>
    <row r="3" spans="1:15" x14ac:dyDescent="0.35">
      <c r="A3" s="5">
        <v>87</v>
      </c>
      <c r="B3" s="5">
        <v>1256</v>
      </c>
      <c r="C3" s="5">
        <v>7</v>
      </c>
      <c r="D3" s="5">
        <v>90.2</v>
      </c>
      <c r="E3" t="s">
        <v>45</v>
      </c>
      <c r="F3">
        <f>AVERAGE(A2:A9)</f>
        <v>91.375</v>
      </c>
      <c r="H3">
        <v>1</v>
      </c>
      <c r="I3" s="5">
        <v>87</v>
      </c>
      <c r="J3" s="5">
        <v>1256</v>
      </c>
      <c r="K3" s="5">
        <v>7</v>
      </c>
      <c r="L3" s="5">
        <v>90.2</v>
      </c>
    </row>
    <row r="4" spans="1:15" x14ac:dyDescent="0.35">
      <c r="A4" s="5">
        <v>86</v>
      </c>
      <c r="B4" s="5">
        <v>791</v>
      </c>
      <c r="C4" s="5">
        <v>6</v>
      </c>
      <c r="D4" s="5">
        <v>81.099999999999994</v>
      </c>
      <c r="E4" t="s">
        <v>27</v>
      </c>
      <c r="F4">
        <f>AVERAGE(B2:B9)</f>
        <v>1031</v>
      </c>
      <c r="H4">
        <v>1</v>
      </c>
      <c r="I4" s="5">
        <v>86</v>
      </c>
      <c r="J4" s="5">
        <v>791</v>
      </c>
      <c r="K4" s="5">
        <v>6</v>
      </c>
      <c r="L4" s="5">
        <v>81.099999999999994</v>
      </c>
    </row>
    <row r="5" spans="1:15" x14ac:dyDescent="0.35">
      <c r="A5" s="5">
        <v>88</v>
      </c>
      <c r="B5" s="5">
        <v>705</v>
      </c>
      <c r="C5" s="5">
        <v>5</v>
      </c>
      <c r="D5" s="5">
        <v>83</v>
      </c>
      <c r="E5" t="s">
        <v>28</v>
      </c>
      <c r="F5">
        <f>AVERAGE(C2:C9)</f>
        <v>5.25</v>
      </c>
      <c r="H5">
        <v>1</v>
      </c>
      <c r="I5" s="5">
        <v>88</v>
      </c>
      <c r="J5" s="5">
        <v>705</v>
      </c>
      <c r="K5" s="5">
        <v>5</v>
      </c>
      <c r="L5" s="5">
        <v>83</v>
      </c>
    </row>
    <row r="6" spans="1:15" x14ac:dyDescent="0.35">
      <c r="A6" s="5">
        <v>92.8</v>
      </c>
      <c r="B6" s="5">
        <v>1089</v>
      </c>
      <c r="C6" s="5">
        <v>3</v>
      </c>
      <c r="D6" s="5">
        <v>90.9</v>
      </c>
      <c r="E6" t="s">
        <v>1</v>
      </c>
      <c r="F6">
        <f>AVERAGE(D2:D9)</f>
        <v>97.662499999999994</v>
      </c>
      <c r="H6">
        <v>1</v>
      </c>
      <c r="I6" s="5">
        <v>92.8</v>
      </c>
      <c r="J6" s="5">
        <v>1089</v>
      </c>
      <c r="K6" s="5">
        <v>3</v>
      </c>
      <c r="L6" s="5">
        <v>90.9</v>
      </c>
    </row>
    <row r="7" spans="1:15" x14ac:dyDescent="0.35">
      <c r="A7" s="5">
        <v>95.2</v>
      </c>
      <c r="B7" s="5">
        <v>1135</v>
      </c>
      <c r="C7" s="5">
        <v>6</v>
      </c>
      <c r="D7" s="5">
        <v>119</v>
      </c>
      <c r="H7">
        <v>1</v>
      </c>
      <c r="I7" s="5">
        <v>95.2</v>
      </c>
      <c r="J7" s="5">
        <v>1135</v>
      </c>
      <c r="K7" s="5">
        <v>6</v>
      </c>
      <c r="L7" s="5">
        <v>119</v>
      </c>
    </row>
    <row r="8" spans="1:15" x14ac:dyDescent="0.35">
      <c r="A8" s="5">
        <v>93.3</v>
      </c>
      <c r="B8" s="5">
        <v>1076</v>
      </c>
      <c r="C8" s="5">
        <v>4</v>
      </c>
      <c r="D8" s="5">
        <v>94.9</v>
      </c>
      <c r="H8">
        <v>1</v>
      </c>
      <c r="I8" s="5">
        <v>93.3</v>
      </c>
      <c r="J8" s="5">
        <v>1076</v>
      </c>
      <c r="K8" s="5">
        <v>4</v>
      </c>
      <c r="L8" s="5">
        <v>94.9</v>
      </c>
    </row>
    <row r="9" spans="1:15" x14ac:dyDescent="0.35">
      <c r="A9" s="5">
        <v>97.7</v>
      </c>
      <c r="B9" s="5">
        <v>1198</v>
      </c>
      <c r="C9" s="5">
        <v>7</v>
      </c>
      <c r="D9" s="5">
        <v>132.4</v>
      </c>
      <c r="H9">
        <v>1</v>
      </c>
      <c r="I9" s="5">
        <v>97.7</v>
      </c>
      <c r="J9" s="5">
        <v>1198</v>
      </c>
      <c r="K9" s="5">
        <v>7</v>
      </c>
      <c r="L9" s="5">
        <v>132.4</v>
      </c>
    </row>
    <row r="11" spans="1:15" x14ac:dyDescent="0.35">
      <c r="G11" cm="1">
        <f t="array" ref="G11:G14">MMULT(H11:O14, L2:L9)</f>
        <v>781.3</v>
      </c>
      <c r="H11" cm="1">
        <f t="array" ref="H11:O14">TRANSPOSE(H2:K9)</f>
        <v>1</v>
      </c>
      <c r="I11">
        <v>1</v>
      </c>
      <c r="J11">
        <v>1</v>
      </c>
      <c r="K11">
        <v>1</v>
      </c>
      <c r="L11">
        <v>1</v>
      </c>
      <c r="M11">
        <v>1</v>
      </c>
      <c r="N11">
        <v>1</v>
      </c>
      <c r="O11">
        <v>1</v>
      </c>
    </row>
    <row r="12" spans="1:15" x14ac:dyDescent="0.35">
      <c r="G12">
        <v>71851.77</v>
      </c>
      <c r="H12">
        <v>91</v>
      </c>
      <c r="I12">
        <v>87</v>
      </c>
      <c r="J12">
        <v>86</v>
      </c>
      <c r="K12">
        <v>88</v>
      </c>
      <c r="L12">
        <v>92.8</v>
      </c>
      <c r="M12">
        <v>95.2</v>
      </c>
      <c r="N12">
        <v>93.3</v>
      </c>
      <c r="O12">
        <v>97.7</v>
      </c>
    </row>
    <row r="13" spans="1:15" x14ac:dyDescent="0.35">
      <c r="G13">
        <v>820359.39999999991</v>
      </c>
      <c r="H13">
        <v>998</v>
      </c>
      <c r="I13">
        <v>1256</v>
      </c>
      <c r="J13">
        <v>791</v>
      </c>
      <c r="K13">
        <v>705</v>
      </c>
      <c r="L13">
        <v>1089</v>
      </c>
      <c r="M13">
        <v>1135</v>
      </c>
      <c r="N13">
        <v>1076</v>
      </c>
      <c r="O13">
        <v>1198</v>
      </c>
    </row>
    <row r="14" spans="1:15" x14ac:dyDescent="0.35">
      <c r="G14">
        <v>4185.2999999999993</v>
      </c>
      <c r="H14">
        <v>4</v>
      </c>
      <c r="I14">
        <v>7</v>
      </c>
      <c r="J14">
        <v>6</v>
      </c>
      <c r="K14">
        <v>5</v>
      </c>
      <c r="L14">
        <v>3</v>
      </c>
      <c r="M14">
        <v>6</v>
      </c>
      <c r="N14">
        <v>4</v>
      </c>
      <c r="O14">
        <v>7</v>
      </c>
    </row>
    <row r="16" spans="1:15" x14ac:dyDescent="0.35">
      <c r="H16" cm="1">
        <f t="array" ref="H16:K19">MMULT(H11:O14, H2:K9)</f>
        <v>8</v>
      </c>
      <c r="I16">
        <v>731</v>
      </c>
      <c r="J16">
        <v>8248</v>
      </c>
      <c r="K16">
        <v>42</v>
      </c>
    </row>
    <row r="17" spans="7:11" x14ac:dyDescent="0.35">
      <c r="H17">
        <v>731</v>
      </c>
      <c r="I17">
        <v>66915.06</v>
      </c>
      <c r="J17">
        <v>756702.6</v>
      </c>
      <c r="K17">
        <v>3835.7000000000003</v>
      </c>
    </row>
    <row r="18" spans="7:11" x14ac:dyDescent="0.35">
      <c r="H18">
        <v>8248</v>
      </c>
      <c r="I18">
        <v>756702.6</v>
      </c>
      <c r="J18">
        <v>8763372</v>
      </c>
      <c r="K18">
        <v>43822</v>
      </c>
    </row>
    <row r="19" spans="7:11" x14ac:dyDescent="0.35">
      <c r="H19">
        <v>42</v>
      </c>
      <c r="I19">
        <v>3835.7000000000003</v>
      </c>
      <c r="J19">
        <v>43822</v>
      </c>
      <c r="K19">
        <v>236</v>
      </c>
    </row>
    <row r="21" spans="7:11" x14ac:dyDescent="0.35">
      <c r="H21" cm="1">
        <f t="array" ref="H21:K24">MINVERSE(H16:K19)</f>
        <v>87.402635326349525</v>
      </c>
      <c r="I21">
        <v>-1.0171386501227806</v>
      </c>
      <c r="J21">
        <v>9.5311340376250612E-3</v>
      </c>
      <c r="K21">
        <v>-0.79298864079463982</v>
      </c>
    </row>
    <row r="22" spans="7:11" x14ac:dyDescent="0.35">
      <c r="H22">
        <v>-1.0171386501227815</v>
      </c>
      <c r="I22">
        <v>1.254291036856001E-2</v>
      </c>
      <c r="J22">
        <v>-1.6105239329154935E-4</v>
      </c>
      <c r="K22">
        <v>7.0619490817519903E-3</v>
      </c>
    </row>
    <row r="23" spans="7:11" x14ac:dyDescent="0.35">
      <c r="H23">
        <v>9.531134037624945E-3</v>
      </c>
      <c r="I23">
        <v>-1.6105239329154792E-4</v>
      </c>
      <c r="J23">
        <v>6.1960881908870735E-6</v>
      </c>
      <c r="K23">
        <v>-2.2916924293606239E-4</v>
      </c>
    </row>
    <row r="24" spans="7:11" x14ac:dyDescent="0.35">
      <c r="H24">
        <v>-0.79298864079460418</v>
      </c>
      <c r="I24">
        <v>7.0619490817515661E-3</v>
      </c>
      <c r="J24">
        <v>-2.291692429360593E-4</v>
      </c>
      <c r="K24">
        <v>7.3138387222215634E-2</v>
      </c>
    </row>
    <row r="26" spans="7:11" x14ac:dyDescent="0.35">
      <c r="G26" t="s">
        <v>46</v>
      </c>
      <c r="H26" cm="1">
        <f t="array" ref="H26:H29">MMULT(H21:K24, G11:G14)</f>
        <v>-295.47332414777065</v>
      </c>
      <c r="I26" t="s">
        <v>47</v>
      </c>
    </row>
    <row r="27" spans="7:11" x14ac:dyDescent="0.35">
      <c r="G27" t="s">
        <v>34</v>
      </c>
      <c r="H27">
        <v>3.9754143540971683</v>
      </c>
      <c r="I27">
        <f>-295.47332 + 3.9754144*93 + (-0.0013473)*1212 + 5.9564655*6</f>
        <v>108.34608460000001</v>
      </c>
    </row>
    <row r="28" spans="7:11" x14ac:dyDescent="0.35">
      <c r="G28" t="s">
        <v>27</v>
      </c>
      <c r="H28">
        <v>-1.3473389745717324E-3</v>
      </c>
    </row>
    <row r="29" spans="7:11" x14ac:dyDescent="0.35">
      <c r="G29" t="s">
        <v>28</v>
      </c>
      <c r="H29">
        <v>5.956465528559761</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
  <sheetViews>
    <sheetView workbookViewId="0">
      <selection activeCell="E11" sqref="E11"/>
    </sheetView>
  </sheetViews>
  <sheetFormatPr defaultRowHeight="14.5" x14ac:dyDescent="0.35"/>
  <cols>
    <col min="1" max="1" width="15.453125" customWidth="1"/>
    <col min="2" max="2" width="10.81640625" customWidth="1"/>
    <col min="3" max="3" width="11.7265625" customWidth="1"/>
    <col min="4" max="4" width="25.1796875" customWidth="1"/>
    <col min="5" max="5" width="14" customWidth="1"/>
    <col min="6" max="6" width="13" customWidth="1"/>
    <col min="9" max="9" width="14.6328125" customWidth="1"/>
  </cols>
  <sheetData>
    <row r="1" spans="1:9" ht="37" x14ac:dyDescent="0.45">
      <c r="A1" s="6" t="s">
        <v>36</v>
      </c>
      <c r="B1" s="6" t="s">
        <v>27</v>
      </c>
      <c r="C1" s="6" t="s">
        <v>28</v>
      </c>
      <c r="D1" s="6" t="s">
        <v>1</v>
      </c>
      <c r="E1" s="10" t="s">
        <v>39</v>
      </c>
      <c r="F1" s="10" t="s">
        <v>37</v>
      </c>
      <c r="I1" s="11" t="s">
        <v>41</v>
      </c>
    </row>
    <row r="2" spans="1:9" ht="18.5" x14ac:dyDescent="0.45">
      <c r="A2" s="7">
        <v>91</v>
      </c>
      <c r="B2" s="7">
        <v>998</v>
      </c>
      <c r="C2" s="7">
        <v>4</v>
      </c>
      <c r="D2" s="7">
        <v>89.8</v>
      </c>
      <c r="E2" s="1">
        <f>A2*C$13+B2*C$12+C2*C$11+C$14</f>
        <v>88.770599892675023</v>
      </c>
      <c r="F2" s="1">
        <f>POWER(D2-E2,2)</f>
        <v>1.0596645809606691</v>
      </c>
      <c r="H2" t="s">
        <v>34</v>
      </c>
      <c r="I2">
        <f>AVERAGE(A2:A10)</f>
        <v>91.375</v>
      </c>
    </row>
    <row r="3" spans="1:9" ht="18.5" x14ac:dyDescent="0.45">
      <c r="A3" s="7">
        <v>87</v>
      </c>
      <c r="B3" s="7">
        <v>1256</v>
      </c>
      <c r="C3" s="7">
        <v>7</v>
      </c>
      <c r="D3" s="7">
        <v>90.2</v>
      </c>
      <c r="E3" s="1">
        <f t="shared" ref="E3:E9" si="0">A3*C$13+B3*C$12+C3*C$11+C$14</f>
        <v>90.390725606528406</v>
      </c>
      <c r="F3" s="1">
        <f t="shared" ref="F3:F9" si="1">POWER(D3-E3,2)</f>
        <v>3.6376256985627235E-2</v>
      </c>
      <c r="H3" t="s">
        <v>42</v>
      </c>
      <c r="I3">
        <f>AVERAGE(B2:B10)</f>
        <v>1031</v>
      </c>
    </row>
    <row r="4" spans="1:9" ht="18.5" x14ac:dyDescent="0.45">
      <c r="A4" s="7">
        <v>86</v>
      </c>
      <c r="B4" s="7">
        <v>791</v>
      </c>
      <c r="C4" s="7">
        <v>6</v>
      </c>
      <c r="D4" s="7">
        <v>81.099999999999994</v>
      </c>
      <c r="E4" s="1">
        <f t="shared" si="0"/>
        <v>81.08535834704594</v>
      </c>
      <c r="F4" s="1">
        <f t="shared" si="1"/>
        <v>2.1437800122697307E-4</v>
      </c>
      <c r="H4" t="s">
        <v>40</v>
      </c>
      <c r="I4">
        <f>AVERAGE(C2:C10)</f>
        <v>5.25</v>
      </c>
    </row>
    <row r="5" spans="1:9" ht="18.5" x14ac:dyDescent="0.45">
      <c r="A5" s="7">
        <v>88</v>
      </c>
      <c r="B5" s="7">
        <v>705</v>
      </c>
      <c r="C5" s="7">
        <v>5</v>
      </c>
      <c r="D5" s="7">
        <v>83</v>
      </c>
      <c r="E5" s="1">
        <f t="shared" si="0"/>
        <v>83.195592678492687</v>
      </c>
      <c r="F5" s="1">
        <f t="shared" si="1"/>
        <v>3.8256495879943765E-2</v>
      </c>
      <c r="H5" t="s">
        <v>43</v>
      </c>
      <c r="I5">
        <f>AVERAGE(D2:D9)</f>
        <v>97.662499999999994</v>
      </c>
    </row>
    <row r="6" spans="1:9" ht="18.5" x14ac:dyDescent="0.45">
      <c r="A6" s="7">
        <v>92.8</v>
      </c>
      <c r="B6" s="7">
        <v>1089</v>
      </c>
      <c r="C6" s="7">
        <v>3</v>
      </c>
      <c r="D6" s="7">
        <v>90.9</v>
      </c>
      <c r="E6" s="1">
        <f t="shared" si="0"/>
        <v>89.84727235480392</v>
      </c>
      <c r="F6" s="1">
        <f t="shared" si="1"/>
        <v>1.1082354949600961</v>
      </c>
    </row>
    <row r="7" spans="1:9" ht="18.5" x14ac:dyDescent="0.45">
      <c r="A7" s="7">
        <v>95.2</v>
      </c>
      <c r="B7" s="7">
        <v>1135</v>
      </c>
      <c r="C7" s="7">
        <v>6</v>
      </c>
      <c r="D7" s="7">
        <v>119</v>
      </c>
      <c r="E7" s="1">
        <f t="shared" si="0"/>
        <v>117.19568579748471</v>
      </c>
      <c r="F7" s="1">
        <f t="shared" si="1"/>
        <v>3.2555497413983727</v>
      </c>
    </row>
    <row r="8" spans="1:9" ht="18.5" x14ac:dyDescent="0.45">
      <c r="A8" s="7">
        <v>93.3</v>
      </c>
      <c r="B8" s="7">
        <v>1076</v>
      </c>
      <c r="C8" s="7">
        <v>4</v>
      </c>
      <c r="D8" s="7">
        <v>94.9</v>
      </c>
      <c r="E8" s="1">
        <f t="shared" si="0"/>
        <v>97.808960467081249</v>
      </c>
      <c r="F8" s="1">
        <f t="shared" si="1"/>
        <v>8.4620509990415265</v>
      </c>
    </row>
    <row r="9" spans="1:9" ht="18.5" x14ac:dyDescent="0.45">
      <c r="A9" s="7">
        <v>97.7</v>
      </c>
      <c r="B9" s="7">
        <v>1198</v>
      </c>
      <c r="C9" s="7">
        <v>7</v>
      </c>
      <c r="D9" s="7">
        <v>132.4</v>
      </c>
      <c r="E9" s="1">
        <f t="shared" si="0"/>
        <v>133.00580485588836</v>
      </c>
      <c r="F9" s="1">
        <f t="shared" si="1"/>
        <v>0.36699952341790609</v>
      </c>
    </row>
    <row r="10" spans="1:9" ht="18.5" x14ac:dyDescent="0.45">
      <c r="A10" s="1"/>
      <c r="B10" s="1"/>
      <c r="C10" s="1"/>
      <c r="D10" s="1"/>
    </row>
    <row r="11" spans="1:9" ht="18.5" x14ac:dyDescent="0.45">
      <c r="A11" s="1" t="s">
        <v>28</v>
      </c>
      <c r="B11" s="1">
        <v>1</v>
      </c>
      <c r="C11" s="1">
        <f>INDEX(LINEST(D$2:D$9,A$2:C$9, TRUE, TRUE), 1, B11)</f>
        <v>5.9564655285595709</v>
      </c>
      <c r="D11" s="1" t="s">
        <v>38</v>
      </c>
      <c r="E11" s="1">
        <f>SUM(F2:F9)</f>
        <v>14.327347470645368</v>
      </c>
    </row>
    <row r="12" spans="1:9" ht="18.5" x14ac:dyDescent="0.45">
      <c r="A12" s="1" t="s">
        <v>27</v>
      </c>
      <c r="B12" s="1">
        <v>2</v>
      </c>
      <c r="C12" s="1">
        <f t="shared" ref="C12:C14" si="2">INDEX(LINEST(D$2:D$9,A$2:C$9, TRUE, TRUE), 1, B12)</f>
        <v>-1.3473389745675504E-3</v>
      </c>
      <c r="D12" s="1"/>
    </row>
    <row r="13" spans="1:9" ht="18.5" x14ac:dyDescent="0.45">
      <c r="A13" s="1" t="s">
        <v>34</v>
      </c>
      <c r="B13" s="1">
        <v>3</v>
      </c>
      <c r="C13" s="1">
        <f t="shared" si="2"/>
        <v>3.9754143540967339</v>
      </c>
      <c r="D13" s="1"/>
    </row>
    <row r="14" spans="1:9" ht="18.5" x14ac:dyDescent="0.45">
      <c r="A14" s="1" t="s">
        <v>35</v>
      </c>
      <c r="B14" s="1">
        <v>4</v>
      </c>
      <c r="C14" s="1">
        <f t="shared" si="2"/>
        <v>-295.47332414774763</v>
      </c>
      <c r="D1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
  <sheetViews>
    <sheetView workbookViewId="0">
      <pane ySplit="9" topLeftCell="A14" activePane="bottomLeft" state="frozen"/>
      <selection pane="bottomLeft" activeCell="D17" sqref="D17"/>
    </sheetView>
  </sheetViews>
  <sheetFormatPr defaultRowHeight="14.5" x14ac:dyDescent="0.35"/>
  <cols>
    <col min="1" max="1" width="13.81640625" customWidth="1"/>
    <col min="2" max="2" width="12.1796875" customWidth="1"/>
    <col min="3" max="3" width="16.81640625" customWidth="1"/>
    <col min="4" max="4" width="19.1796875" customWidth="1"/>
    <col min="5" max="5" width="13.26953125" customWidth="1"/>
    <col min="6" max="6" width="12.1796875" customWidth="1"/>
    <col min="7" max="7" width="14.54296875" customWidth="1"/>
  </cols>
  <sheetData>
    <row r="1" spans="1:15" ht="55.5" x14ac:dyDescent="0.45">
      <c r="A1" s="6" t="s">
        <v>0</v>
      </c>
      <c r="B1" s="7" t="s">
        <v>27</v>
      </c>
      <c r="C1" s="7" t="s">
        <v>28</v>
      </c>
      <c r="D1" s="6" t="s">
        <v>1</v>
      </c>
      <c r="E1" s="1" t="s">
        <v>32</v>
      </c>
      <c r="F1" s="1"/>
      <c r="G1" t="s">
        <v>2</v>
      </c>
    </row>
    <row r="2" spans="1:15" ht="19" thickBot="1" x14ac:dyDescent="0.5">
      <c r="A2" s="7">
        <v>91</v>
      </c>
      <c r="B2" s="7">
        <v>998</v>
      </c>
      <c r="C2" s="7">
        <v>4</v>
      </c>
      <c r="D2" s="7">
        <v>89.8</v>
      </c>
      <c r="E2" s="1">
        <f>H$17+H$18*A2+H$19*B2+H$20*C2</f>
        <v>88.770599892674994</v>
      </c>
      <c r="F2" s="1"/>
    </row>
    <row r="3" spans="1:15" ht="18.5" x14ac:dyDescent="0.45">
      <c r="A3" s="7">
        <v>87</v>
      </c>
      <c r="B3" s="7">
        <v>1256</v>
      </c>
      <c r="C3" s="7">
        <v>7</v>
      </c>
      <c r="D3" s="7">
        <v>90.2</v>
      </c>
      <c r="E3" s="1">
        <f t="shared" ref="E3:E9" si="0">H$17+H$18*A3+H$19*B3+H$20*C3</f>
        <v>90.390725606528378</v>
      </c>
      <c r="F3" s="1"/>
      <c r="G3" s="4" t="s">
        <v>3</v>
      </c>
      <c r="H3" s="4"/>
    </row>
    <row r="4" spans="1:15" ht="18.5" x14ac:dyDescent="0.45">
      <c r="A4" s="7">
        <v>86</v>
      </c>
      <c r="B4" s="7">
        <v>791</v>
      </c>
      <c r="C4" s="7">
        <v>6</v>
      </c>
      <c r="D4" s="7">
        <v>81.099999999999994</v>
      </c>
      <c r="E4" s="1">
        <f t="shared" si="0"/>
        <v>81.085358347045968</v>
      </c>
      <c r="F4" s="1"/>
      <c r="G4" t="s">
        <v>4</v>
      </c>
      <c r="H4">
        <v>0.99691030700009542</v>
      </c>
    </row>
    <row r="5" spans="1:15" ht="18.5" x14ac:dyDescent="0.45">
      <c r="A5" s="7">
        <v>88</v>
      </c>
      <c r="B5" s="7">
        <v>705</v>
      </c>
      <c r="C5" s="7">
        <v>5</v>
      </c>
      <c r="D5" s="7">
        <v>83</v>
      </c>
      <c r="E5" s="1">
        <f t="shared" si="0"/>
        <v>83.195592678492702</v>
      </c>
      <c r="F5" s="1"/>
      <c r="G5" t="s">
        <v>5</v>
      </c>
      <c r="H5">
        <v>0.99383016020302439</v>
      </c>
    </row>
    <row r="6" spans="1:15" ht="18.5" x14ac:dyDescent="0.45">
      <c r="A6" s="7">
        <v>92.8</v>
      </c>
      <c r="B6" s="7">
        <v>1089</v>
      </c>
      <c r="C6" s="7">
        <v>3</v>
      </c>
      <c r="D6" s="7">
        <v>90.9</v>
      </c>
      <c r="E6" s="1">
        <f t="shared" si="0"/>
        <v>89.847272354803906</v>
      </c>
      <c r="F6" s="1"/>
      <c r="G6" t="s">
        <v>6</v>
      </c>
      <c r="H6">
        <v>0.98920278035529274</v>
      </c>
    </row>
    <row r="7" spans="1:15" ht="18.5" x14ac:dyDescent="0.45">
      <c r="A7" s="7">
        <v>95.2</v>
      </c>
      <c r="B7" s="7">
        <v>1135</v>
      </c>
      <c r="C7" s="7">
        <v>6</v>
      </c>
      <c r="D7" s="7">
        <v>119</v>
      </c>
      <c r="E7" s="1">
        <f t="shared" si="0"/>
        <v>117.19568579748469</v>
      </c>
      <c r="F7" s="1"/>
      <c r="G7" t="s">
        <v>7</v>
      </c>
      <c r="H7">
        <v>1.8925741379563774</v>
      </c>
    </row>
    <row r="8" spans="1:15" ht="19" thickBot="1" x14ac:dyDescent="0.5">
      <c r="A8" s="7">
        <v>93.3</v>
      </c>
      <c r="B8" s="7">
        <v>1076</v>
      </c>
      <c r="C8" s="7">
        <v>4</v>
      </c>
      <c r="D8" s="7">
        <v>94.9</v>
      </c>
      <c r="E8" s="1">
        <f t="shared" si="0"/>
        <v>97.808960467081221</v>
      </c>
      <c r="F8" s="1"/>
      <c r="G8" s="2" t="s">
        <v>8</v>
      </c>
      <c r="H8" s="2">
        <v>8</v>
      </c>
    </row>
    <row r="9" spans="1:15" ht="18.5" x14ac:dyDescent="0.45">
      <c r="A9" s="7">
        <v>97.7</v>
      </c>
      <c r="B9" s="7">
        <v>1198</v>
      </c>
      <c r="C9" s="7">
        <v>7</v>
      </c>
      <c r="D9" s="7">
        <v>132.4</v>
      </c>
      <c r="E9" s="1">
        <f t="shared" si="0"/>
        <v>133.00580485588833</v>
      </c>
      <c r="F9" s="1"/>
    </row>
    <row r="10" spans="1:15" ht="15" thickBot="1" x14ac:dyDescent="0.4">
      <c r="G10" t="s">
        <v>9</v>
      </c>
    </row>
    <row r="11" spans="1:15" x14ac:dyDescent="0.35">
      <c r="G11" s="3"/>
      <c r="H11" s="3" t="s">
        <v>14</v>
      </c>
      <c r="I11" s="3" t="s">
        <v>15</v>
      </c>
      <c r="J11" s="3" t="s">
        <v>16</v>
      </c>
      <c r="K11" s="3" t="s">
        <v>17</v>
      </c>
      <c r="L11" s="3" t="s">
        <v>18</v>
      </c>
    </row>
    <row r="12" spans="1:15" x14ac:dyDescent="0.35">
      <c r="G12" t="s">
        <v>10</v>
      </c>
      <c r="H12">
        <v>3</v>
      </c>
      <c r="I12">
        <v>2307.8314025293553</v>
      </c>
      <c r="J12">
        <v>769.2771341764518</v>
      </c>
      <c r="K12">
        <v>214.77168352413909</v>
      </c>
      <c r="L12">
        <v>7.1228518854132486E-5</v>
      </c>
    </row>
    <row r="13" spans="1:15" x14ac:dyDescent="0.35">
      <c r="G13" t="s">
        <v>11</v>
      </c>
      <c r="H13">
        <v>4</v>
      </c>
      <c r="I13">
        <v>14.3273474706453</v>
      </c>
      <c r="J13">
        <v>3.581836867661325</v>
      </c>
    </row>
    <row r="14" spans="1:15" ht="15" thickBot="1" x14ac:dyDescent="0.4">
      <c r="G14" s="2" t="s">
        <v>12</v>
      </c>
      <c r="H14" s="2">
        <v>7</v>
      </c>
      <c r="I14" s="2">
        <v>2322.1587500000005</v>
      </c>
      <c r="J14" s="2"/>
      <c r="K14" s="2"/>
      <c r="L14" s="2"/>
    </row>
    <row r="15" spans="1:15" ht="19" thickBot="1" x14ac:dyDescent="0.5">
      <c r="A15" s="13" t="s">
        <v>31</v>
      </c>
      <c r="B15" s="14"/>
      <c r="C15" s="14"/>
      <c r="D15" s="14"/>
      <c r="E15" s="14"/>
    </row>
    <row r="16" spans="1:15" ht="18.5" x14ac:dyDescent="0.45">
      <c r="A16" s="1"/>
      <c r="B16" s="1"/>
      <c r="C16" s="1"/>
      <c r="D16" s="1" t="s">
        <v>33</v>
      </c>
      <c r="G16" s="3"/>
      <c r="H16" s="3" t="s">
        <v>19</v>
      </c>
      <c r="I16" s="3" t="s">
        <v>7</v>
      </c>
      <c r="J16" s="3" t="s">
        <v>20</v>
      </c>
      <c r="K16" s="3" t="s">
        <v>21</v>
      </c>
      <c r="L16" s="3" t="s">
        <v>22</v>
      </c>
      <c r="M16" s="3" t="s">
        <v>23</v>
      </c>
      <c r="N16" s="3" t="s">
        <v>24</v>
      </c>
      <c r="O16" s="3" t="s">
        <v>25</v>
      </c>
    </row>
    <row r="17" spans="1:15" ht="18.5" x14ac:dyDescent="0.45">
      <c r="A17" s="1">
        <v>93</v>
      </c>
      <c r="B17" s="1">
        <v>1212</v>
      </c>
      <c r="C17" s="1">
        <v>6</v>
      </c>
      <c r="D17" s="9">
        <f>H$17+H$18*A17+H$19*B17+H$20*C17</f>
        <v>108.34602911743021</v>
      </c>
      <c r="G17" s="1" t="s">
        <v>13</v>
      </c>
      <c r="H17" s="1">
        <v>-295.47332414774763</v>
      </c>
      <c r="I17">
        <v>17.693557628206214</v>
      </c>
      <c r="J17">
        <v>-16.699486352971679</v>
      </c>
      <c r="K17">
        <v>7.5340301158713006E-5</v>
      </c>
      <c r="L17">
        <v>-344.59851561811587</v>
      </c>
      <c r="M17">
        <v>-246.3481326773794</v>
      </c>
      <c r="N17">
        <v>-344.59851561811587</v>
      </c>
      <c r="O17">
        <v>-246.3481326773794</v>
      </c>
    </row>
    <row r="18" spans="1:15" ht="18.5" x14ac:dyDescent="0.45">
      <c r="G18" s="1" t="s">
        <v>26</v>
      </c>
      <c r="H18" s="1">
        <v>3.9754143540967339</v>
      </c>
      <c r="I18">
        <v>0.21195909696419374</v>
      </c>
      <c r="J18">
        <v>18.755573179141734</v>
      </c>
      <c r="K18">
        <v>4.758211965195337E-5</v>
      </c>
      <c r="L18">
        <v>3.3869215568283537</v>
      </c>
      <c r="M18">
        <v>4.5639071513651146</v>
      </c>
      <c r="N18">
        <v>3.3869215568283537</v>
      </c>
      <c r="O18">
        <v>4.5639071513651146</v>
      </c>
    </row>
    <row r="19" spans="1:15" ht="18.5" x14ac:dyDescent="0.45">
      <c r="G19" s="1" t="s">
        <v>29</v>
      </c>
      <c r="H19" s="1">
        <v>-1.3473389745675504E-3</v>
      </c>
      <c r="I19">
        <v>4.7109847290561198E-3</v>
      </c>
      <c r="J19">
        <v>-0.28599943579895654</v>
      </c>
      <c r="K19">
        <v>0.78907886005945105</v>
      </c>
      <c r="L19">
        <v>-1.4427129466216966E-2</v>
      </c>
      <c r="M19">
        <v>1.1732451517081867E-2</v>
      </c>
      <c r="N19">
        <v>-1.4427129466216966E-2</v>
      </c>
      <c r="O19">
        <v>1.1732451517081867E-2</v>
      </c>
    </row>
    <row r="20" spans="1:15" ht="19" thickBot="1" x14ac:dyDescent="0.5">
      <c r="G20" s="8" t="s">
        <v>30</v>
      </c>
      <c r="H20" s="8">
        <v>5.9564655285595709</v>
      </c>
      <c r="I20" s="2">
        <v>0.51182982698727253</v>
      </c>
      <c r="J20" s="2">
        <v>11.637589711448543</v>
      </c>
      <c r="K20" s="2">
        <v>3.1161468197818317E-4</v>
      </c>
      <c r="L20" s="2">
        <v>4.5353981107265247</v>
      </c>
      <c r="M20" s="2">
        <v>7.3775329463926171</v>
      </c>
      <c r="N20" s="2">
        <v>4.5353981107265247</v>
      </c>
      <c r="O20" s="2">
        <v>7.3775329463926171</v>
      </c>
    </row>
  </sheetData>
  <mergeCells count="1">
    <mergeCell ref="A15:E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C26E4B-1381-4643-A602-884BCE8C4B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temp-sale</vt:lpstr>
      <vt:lpstr>usingLinest</vt:lpstr>
      <vt:lpstr>UsingDataAnalysisTool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2024-11-14T16:39:48Z</dcterms:modified>
</cp:coreProperties>
</file>